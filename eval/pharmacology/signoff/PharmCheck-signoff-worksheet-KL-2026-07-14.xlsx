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leekjazz/Documents/CLAUDE/Projects/Breath Ezy Documents/files 2/"/>
    </mc:Choice>
  </mc:AlternateContent>
  <xr:revisionPtr revIDLastSave="0" documentId="13_ncr:1_{A49F9FCF-0DA4-C646-86DB-CB13811E66A9}" xr6:coauthVersionLast="47" xr6:coauthVersionMax="47" xr10:uidLastSave="{00000000-0000-0000-0000-000000000000}"/>
  <bookViews>
    <workbookView xWindow="0" yWindow="500" windowWidth="26500" windowHeight="14980" tabRatio="500" activeTab="1" xr2:uid="{00000000-000D-0000-FFFF-FFFF00000000}"/>
  </bookViews>
  <sheets>
    <sheet name="Read me" sheetId="1" r:id="rId1"/>
    <sheet name="Sign-off workshee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1" l="1"/>
  <c r="B23" i="1"/>
  <c r="B21" i="1"/>
  <c r="B25" i="1" l="1"/>
</calcChain>
</file>

<file path=xl/sharedStrings.xml><?xml version="1.0" encoding="utf-8"?>
<sst xmlns="http://schemas.openxmlformats.org/spreadsheetml/2006/main" count="754" uniqueCount="263">
  <si>
    <t>PharmCheck — Clinician Sign-off Worksheet</t>
  </si>
  <si>
    <t>Generated against FL-30 (2026-07-14) from pharmcheck-dev-package.json — 88 draft records.</t>
  </si>
  <si>
    <t>PURPOSE</t>
  </si>
  <si>
    <t>Every record in this package is DRAFT (the ingest adapter forces review_status:draft, reviewed_by:null). This worksheet turns attestation into a per-record decision. Work down the 'Sign-off worksheet' tab; set a Decision on each row; the registered pharmacist signs the block below; hand to the repo engineer to apply.</t>
  </si>
  <si>
    <t>HOW TO USE</t>
  </si>
  <si>
    <t>1. For each row, read Claim + Stated basis + What to confirm.</t>
  </si>
  <si>
    <t>2. Set Decision (column I) = Attest / Amend / Reject (dropdown).</t>
  </si>
  <si>
    <t>3. If Amend or Reject, write the correction/reason in column J.</t>
  </si>
  <si>
    <t>4. Complete the ATTESTATION block below (this is the human sign-off the architecture requires — it is not, and cannot be, auto-filled).</t>
  </si>
  <si>
    <t>5. Hand to the engineer: Attested records get reviewed_by set + review_status:approved in the repo; Amend rows are re-authored; Reject rows are dropped.</t>
  </si>
  <si>
    <t>RISK TIERS (rows are ordered by these)</t>
  </si>
  <si>
    <t>Tier 1 — HARD_FAIL: drives allergy_check / interaction_check → HARD_FAIL. Highest stakes. (17 rows)</t>
  </si>
  <si>
    <t>Tier 2 — Clinical assertion: absolute contraindications &amp; serious adverse effects (reference-only, high consequence). (24 rows)</t>
  </si>
  <si>
    <t>Tier 3 — Dose-adjacent: dose_evidence, engine-ISOLATED, citation-verified. (2 rows)</t>
  </si>
  <si>
    <t>Tier 4 — Reference fact: TDM ranges, crush/disperse, counselling, labels (no dose, not engine-wired). (45 rows)</t>
  </si>
  <si>
    <t>PROGRESS</t>
  </si>
  <si>
    <t>Total records</t>
  </si>
  <si>
    <t>Attested</t>
  </si>
  <si>
    <t>Amend</t>
  </si>
  <si>
    <t>Reject</t>
  </si>
  <si>
    <t>Remaining (blank)</t>
  </si>
  <si>
    <t>NOT ATTESTABLE HERE — repo/engineer-gated (listed so nothing is lost):</t>
  </si>
  <si>
    <t>• Scaffolding the 4 proposed capabilities (dose_evidence_review_queue, pregnancy_risk, hepatic) + the dose_evidence APF-attestation variant — seeds are embedded in the package's structural_proposals.</t>
  </si>
  <si>
    <t>• Frozen pharm-check output-enum change to WIRE pregnancy_check / hepatic_check (they exist in pharm-intent but not in pharm-check).</t>
  </si>
  <si>
    <t>• TGA 'Prescribing Medicines in Pregnancy' bulk sync + data-sources registry entry tga-pregnancy.</t>
  </si>
  <si>
    <t>• The clinician-direct-APF-attestation write path (fail-closed against agents).</t>
  </si>
  <si>
    <t>• dose_evidence PMID re-verification against PubMed at sign time (belt-and-braces; already verified live once).</t>
  </si>
  <si>
    <t>ATTESTATION (registered pharmacist — complete by hand; do not auto-fill)</t>
  </si>
  <si>
    <t>Pharmacist name</t>
  </si>
  <si>
    <t>AHPRA registration no.</t>
  </si>
  <si>
    <t>Date</t>
  </si>
  <si>
    <t>Scope attested</t>
  </si>
  <si>
    <t>Statement</t>
  </si>
  <si>
    <t>I have reviewed the records marked 'Attest' and confirm them accurate and appropriate for the PharmCheck -dev register, subject to any Amend/Reject notes.</t>
  </si>
  <si>
    <t>Signature</t>
  </si>
  <si>
    <t>#</t>
  </si>
  <si>
    <t>Risk tier</t>
  </si>
  <si>
    <t>Capability</t>
  </si>
  <si>
    <t>Record (natural key)</t>
  </si>
  <si>
    <t>Claim / what it asserts</t>
  </si>
  <si>
    <t>Stated basis</t>
  </si>
  <si>
    <t>What to confirm</t>
  </si>
  <si>
    <t>Engine effect</t>
  </si>
  <si>
    <t>Decision</t>
  </si>
  <si>
    <t>Amendment / rejection note</t>
  </si>
  <si>
    <t>LEGEND → set 'Decision' per row: Attest / Amend / Reject. Add note in the last column for Amend/Reject. Rows are risk-ordered (Tier 1 first).</t>
  </si>
  <si>
    <t>1 — HARD_FAIL</t>
  </si>
  <si>
    <t>allergy</t>
  </si>
  <si>
    <t>group: aromatic_antiepileptic</t>
  </si>
  <si>
    <t>Cross-reactivity group members: carbamazepine, oxcarbazepine, phenytoin, fosphenytoin, phenobarbital, primidone, lamotrigine</t>
  </si>
  <si>
    <t>self-authored (cross-reactivity classes; primary literature)</t>
  </si>
  <si>
    <t>Confirm EVERY listed member genuinely cross-reacts — this group drives allergy_check → HARD_FAIL (a false member over-blocks; a missing one under-protects). SPECIFIC CALL: does lamotrigine belong here? Its cross-reactivity with the aromatic AEDs is more debated than the others.</t>
  </si>
  <si>
    <t>allergy_check → HARD_FAIL</t>
  </si>
  <si>
    <t>interactions</t>
  </si>
  <si>
    <t>citalopram + domperidone</t>
  </si>
  <si>
    <t>critical / avoid — additive QT prolongation / torsades risk</t>
  </si>
  <si>
    <t>self-authored, AU/AMH-aligned, mechanism-class only</t>
  </si>
  <si>
    <t>Confirm the pair and that severity 'critical' + management 'avoid' is correct (a 'critical' interaction fires interaction_check → HARD_FAIL). Confirm mechanism_category = 'qt_prolongation'.</t>
  </si>
  <si>
    <t>interaction_check → HARD_FAIL (critical)</t>
  </si>
  <si>
    <t>methadone + ondansetron</t>
  </si>
  <si>
    <t>amiodarone + sotalol</t>
  </si>
  <si>
    <t>critical / avoid — additive QT prolongation (two class III antiarrhythmics) / torsades risk</t>
  </si>
  <si>
    <t>tramadol + moclobemide</t>
  </si>
  <si>
    <t>critical / avoid — serotonin syndrome (serotonergic opioid + MAO inhibitor); also lowered seizure threshold</t>
  </si>
  <si>
    <t>Confirm the pair and that severity 'critical' + management 'avoid' is correct (a 'critical' interaction fires interaction_check → HARD_FAIL). Confirm mechanism_category = 'drug_drug'.</t>
  </si>
  <si>
    <t>linezolid + citalopram</t>
  </si>
  <si>
    <t>critical / avoid — serotonin syndrome (linezolid is a reversible MAO inhibitor + SSRI)</t>
  </si>
  <si>
    <t>selegiline + sertraline</t>
  </si>
  <si>
    <t>critical / avoid — serotonin syndrome (MAO-B inhibitor + SSRI)</t>
  </si>
  <si>
    <t>spironolactone + trimethoprim-sulfamethoxazole</t>
  </si>
  <si>
    <t>critical / avoid — additive hyperkalaemia (potassium-sparing diuretic + trimethoprim ENaC block), especially in the elderly/renal impairment</t>
  </si>
  <si>
    <t>spironolactone + potassium chloride</t>
  </si>
  <si>
    <t>critical / avoid — additive hyperkalaemia (potassium-sparing diuretic + potassium supplement)</t>
  </si>
  <si>
    <t>clarithromycin + simvastatin</t>
  </si>
  <si>
    <t>critical / avoid — strong CYP3A4 inhibition raises simvastatin exposure -&gt; myopathy/rhabdomyolysis</t>
  </si>
  <si>
    <t>Confirm the pair and that severity 'critical' + management 'avoid' is correct (a 'critical' interaction fires interaction_check → HARD_FAIL). Confirm mechanism_category = 'cyp_inhibitor'.</t>
  </si>
  <si>
    <t>itraconazole + simvastatin</t>
  </si>
  <si>
    <t>clarithromycin + colchicine</t>
  </si>
  <si>
    <t>critical / avoid — CYP3A4 and P-glycoprotein inhibition raises colchicine exposure -&gt; potentially fatal colchicine toxicity (worse in renal/hepatic impairment)</t>
  </si>
  <si>
    <t>verapamil + metoprolol</t>
  </si>
  <si>
    <t>critical / avoid — additive negative chronotropy/inotropy -&gt; bradycardia, AV block, hypotension, asystole</t>
  </si>
  <si>
    <t>allopurinol + azathioprine</t>
  </si>
  <si>
    <t>critical / avoid — xanthine oxidase inhibition reduces clearance of azathioprine's active metabolite -&gt; severe myelosuppression</t>
  </si>
  <si>
    <t>Confirm the pair and that severity 'critical' + management 'avoid' is correct (a 'critical' interaction fires interaction_check → HARD_FAIL). Confirm mechanism_category = 'reduced_clearance'.</t>
  </si>
  <si>
    <t>methotrexate + trimethoprim-sulfamethoxazole</t>
  </si>
  <si>
    <t>critical / avoid — additive antifolate effect plus reduced renal clearance -&gt; pancytopenia / megaloblastic marrow suppression</t>
  </si>
  <si>
    <t>glyceryl trinitrate + sildenafil</t>
  </si>
  <si>
    <t>critical / avoid — additive cGMP-mediated vasodilation -&gt; profound, potentially fatal hypotension</t>
  </si>
  <si>
    <t>phenelzine + pethidine</t>
  </si>
  <si>
    <t>critical / avoid — MAO inhibitor + pethidine -&gt; serotonergic/excitatory reaction (hyperthermia, rigidity, autonomic instability)</t>
  </si>
  <si>
    <t>2 — Clinical assertion</t>
  </si>
  <si>
    <t>strong_contraindications</t>
  </si>
  <si>
    <t>isotretinoin in pregnancy</t>
  </si>
  <si>
    <t>absolute — potent teratogen with high risk of major congenital malformations; a pregnancy prevention program with effective contraception is mandatory</t>
  </si>
  <si>
    <t>self-authored; corroborate AMH/TGA</t>
  </si>
  <si>
    <t>Confirm the contraindication holds and that severity 'absolute' is right (vs 'strong_relative'). Check any specialist-exception wording in the rationale (esp. valproate/warfarin in pregnancy).</t>
  </si>
  <si>
    <t>reference-only (no firewall check wired)</t>
  </si>
  <si>
    <t>methotrexate in pregnancy</t>
  </si>
  <si>
    <t>absolute — abortifacient and teratogen; contraindicated in pregnancy for non-oncological indications</t>
  </si>
  <si>
    <t>ACE inhibitors in pregnancy</t>
  </si>
  <si>
    <t>absolute — fetal renal toxicity, oligohydramnios and skull hypoplasia (notably second/third trimester); avoid throughout pregnancy</t>
  </si>
  <si>
    <t>angiotensin receptor blockers in pregnancy</t>
  </si>
  <si>
    <t>absolute — same fetotoxicity profile as ACE inhibitors; avoid throughout pregnancy</t>
  </si>
  <si>
    <t>sodium valproate in pregnancy</t>
  </si>
  <si>
    <t>absolute — high teratogenic and neurodevelopmental risk; contraindicated for migraine and (in women of childbearing potential) bipolar disorder. In epilepsy, avoid unless no effective alternative exists, under specialist care with a pregnancy prevention program</t>
  </si>
  <si>
    <t>warfarin in pregnancy</t>
  </si>
  <si>
    <t>absolute — warfarin embryopathy and fetal haemorrhage; avoid in pregnancy. The recognised exception is selected mechanical-heart-valve patients managed by specialists</t>
  </si>
  <si>
    <t>triptans in ischaemic heart disease</t>
  </si>
  <si>
    <t>absolute — coronary vasoconstriction; contraindicated with established coronary artery disease or other significant vascular disease</t>
  </si>
  <si>
    <t>ergotamine in ischaemic heart disease</t>
  </si>
  <si>
    <t>absolute — ergot-mediated vasoconstriction; contraindicated in coronary, cerebrovascular and peripheral vascular disease</t>
  </si>
  <si>
    <t>combined oral contraceptive in history of venous thromboembolism</t>
  </si>
  <si>
    <t>absolute — oestrogen further raises VTE risk (category 4, unacceptable risk); use a progestogen-only or non-hormonal method</t>
  </si>
  <si>
    <t>combined oral contraceptive in migraine with aura</t>
  </si>
  <si>
    <t>absolute — increased ischaemic stroke risk (category 4); use a progestogen-only or non-hormonal method</t>
  </si>
  <si>
    <t>non-selective beta blockers in asthma</t>
  </si>
  <si>
    <t>absolute — beta-2 blockade can precipitate severe bronchospasm; avoid non-selective beta blockers in asthma</t>
  </si>
  <si>
    <t>serious_adverse_effects</t>
  </si>
  <si>
    <t>allopurinol → severe cutaneous adverse reaction (SJS/TEN/DRESS)</t>
  </si>
  <si>
    <t>life_threatening / dermatological / onset subacute — HLA-B*58:01-associated T-cell hypersensitivity | monitor: consider HLA-B*58:01 screening in higher-risk ancestry; start at a low dose; review any rash urgently | manage: cease immediately; supportive and specialist (dermatology/burns) care</t>
  </si>
  <si>
    <t>Confirm the effect is established, the severity tier (life_threatening/serious) and system are right, and the monitoring/management are sound.</t>
  </si>
  <si>
    <t>reference-only</t>
  </si>
  <si>
    <t>carbamazepine → Stevens-Johnson syndrome / toxic epidermal necrolysis</t>
  </si>
  <si>
    <t>life_threatening / dermatological / onset subacute — HLA-B*15:02-associated (Han Chinese, Thai and other Southeast Asian ancestry); HLA-A*31:01 also implicated | monitor: consider HLA-B*15:02 screening in at-risk ancestry before starting; cease at first sign of rash | manage: cease; specialist/burns-unit management; avoid rechallenge</t>
  </si>
  <si>
    <t>lamotrigine → Stevens-Johnson syndrome / toxic epidermal necrolysis</t>
  </si>
  <si>
    <t>life_threatening / dermatological / onset subacute — immune-mediated; risk raised by rapid dose escalation and by valproate co-administration | monitor: adhere to slow titration (halve the rate with valproate); review any rash urgently | manage: cease; do not rechallenge</t>
  </si>
  <si>
    <t>clozapine → agranulocytosis / severe neutropenia</t>
  </si>
  <si>
    <t>life_threatening / haematological / onset subacute — idiosyncratic immune/toxic marrow suppression | monitor: mandatory scheduled full blood count monitoring per the clozapine protocol | manage: cease; haematology involvement; do not rechallenge if confirmed</t>
  </si>
  <si>
    <t>clozapine → myocarditis / cardiomyopathy</t>
  </si>
  <si>
    <t>life_threatening / cardiac / onset subacute — hypersensitivity myocarditis, typically within the first 4-6 weeks | monitor: baseline then early troponin/CRP and clinical review; monitor heart rate and temperature during initiation | manage: cease; cardiology assessment</t>
  </si>
  <si>
    <t>sodium valproate → hepatotoxicity (including fatal hepatic failure)</t>
  </si>
  <si>
    <t>life_threatening / hepatic / onset subacute — mitochondrial/idiosyncratic; higher risk in young children, polytherapy and mitochondrial disease | monitor: baseline and periodic LFTs; vigilance for lethargy, vomiting, jaundice, worsening seizures | manage: cease; supportive care; consider carnitine</t>
  </si>
  <si>
    <t>sodium valproate → acute pancreatitis</t>
  </si>
  <si>
    <t>serious / gastrointestinal / onset acute — idiosyncratic | monitor: check lipase if severe abdominal pain/vomiting | manage: cease; supportive care</t>
  </si>
  <si>
    <t>empagliflozin → euglycaemic diabetic ketoacidosis</t>
  </si>
  <si>
    <t>life_threatening / metabolic / onset acute — SGLT2 inhibition promotes ketogenesis; ketoacidosis can occur with near-normal blood glucose | monitor: counsel on sick-day rules; check ketones with symptoms even if glucose is normal; withhold peri-operatively and during acute illness | manage: cease; treat ketoacidosis</t>
  </si>
  <si>
    <t>empagliflozin → Fournier gangrene (necrotising fasciitis of the perineum)</t>
  </si>
  <si>
    <t>life_threatening / other / onset acute — genital/urinary infection progressing to necrotising soft-tissue infection | monitor: advise urgent review for genital/perineal pain, swelling, redness or fever | manage: cease; urgent surgical debridement and antibiotics</t>
  </si>
  <si>
    <t>ciprofloxacin → tendinopathy and tendon rupture (notably Achilles)</t>
  </si>
  <si>
    <t>serious / musculoskeletal / onset acute — fluoroquinolone tendon toxicity; risk raised by concomitant corticosteroids, older age and renal impairment | monitor: advise to stop and rest at first tendon pain or swelling | manage: cease; avoid the fluoroquinolone class</t>
  </si>
  <si>
    <t>ciprofloxacin → aortic aneurysm / dissection</t>
  </si>
  <si>
    <t>life_threatening / other / onset acute — fluoroquinolone-associated connective-tissue weakening | monitor: avoid where an aortic aneurysm or strong risk factors exist and alternatives are available | manage: urgent assessment for severe chest, back or abdominal pain</t>
  </si>
  <si>
    <t>atorvastatin → rhabdomyolysis</t>
  </si>
  <si>
    <t>life_threatening / musculoskeletal / onset acute — statin myotoxicity; risk raised by interacting CYP3A4 inhibitors, hypothyroidism and renal impairment | monitor: check creatine kinase and review if unexplained muscle pain/weakness or dark urine | manage: cease; supportive care; manage acute kidney injury risk</t>
  </si>
  <si>
    <t>metformin → lactic acidosis</t>
  </si>
  <si>
    <t>life_threatening / metabolic / onset acute — impaired lactate clearance in renal impairment, hypoxia, sepsis or dehydration | monitor: check eGFR before and during; withhold in acute illness, dehydration or before iodinated contrast | manage: cease; supportive care; haemodialysis may be required</t>
  </si>
  <si>
    <t>3 — Dose-adjacent</t>
  </si>
  <si>
    <t>dose_evidence</t>
  </si>
  <si>
    <t>colchicine [PMID 20131255]</t>
  </si>
  <si>
    <t>Acute gout flare — comparison of low-dose versus high-dose oral colchicine regimens — In this randomised trial a low-dose oral colchicine regimen (1.8 mg total over 1 hour) achieved &gt;=50% pain reduction at 24 hours in a similar proportion of patients to a high-dose regimen (4.8 mg total over 6 hours) — 37.8% versus 32.7% responders, both superior to placebo — while the low-dose regimen's adverse-event rate was indistinguishable from placebo and the high-dose regimen caused far more diarrhoea (76.9%) and vomiting. Reported as a literature observation, not a directive.</t>
  </si>
  <si>
    <t>PubMed 20131255 (Arthritis and rheumatism 2010) — metadata verified live this session; Randomised controlled trial (AGREE). Metadata verified live via PubMed this session (DOI 10.1002/art.27327). Consistent with the APF22 Section D colchicine monograph statement that low-dose colchicine with an extended dosing interval is effective for acute gout with fewer gastrointestinal effects and less risk of fatal toxicity.</t>
  </si>
  <si>
    <t>Confirm the citation is faithful and the dose_statement reads as a NON-directive observation (not_prescribing_guidance=true). Repo also re-verifies each PMID against PubMed before sign.</t>
  </si>
  <si>
    <t>engine-ISOLATED (no dose-surfacing accessor)</t>
  </si>
  <si>
    <t>prednisone [PMID 23695200]</t>
  </si>
  <si>
    <t>Acute exacerbation of COPD — duration of systemic glucocorticoid therapy (short versus conventional course) — In the REDUCE noninferiority trial a 5-day course of prednisone 40 mg daily was noninferior to a 14-day course for time to next exacerbation within 180 days (hazard ratio 0.95, 90% CI 0.70-1.29), with no difference in death or lung-function recovery, while cumulative glucocorticoid exposure was much lower in the short-course arm (mean 379 mg versus 793 mg). Reported as a literature observation, not a directive.</t>
  </si>
  <si>
    <t>PubMed 23695200 (JAMA 2013) — metadata verified live this session; Multicentre randomised noninferiority trial. Metadata verified live via PubMed this session (DOI 10.1001/jama.2013.5023). The trial studied prednisone; in Australian practice prednisolone is the common oral equivalent. Duration finding; engine-isolated; not prescribing guidance.</t>
  </si>
  <si>
    <t>4 — Reference fact</t>
  </si>
  <si>
    <t>tdm_parameters</t>
  </si>
  <si>
    <t>digoxin</t>
  </si>
  <si>
    <t>target 0.5–1.8 microgram/L (trough, serum) | toxic 2.0microgram/L | sample pre-dose or &gt;6 h post-dose; lower targets apply in heart failure (approx 0.6-1.0 nanomol/L); toxicity more likely with hypokalaemia/hypercalcaemia even within range; end-stage renal failure pr…</t>
  </si>
  <si>
    <t>APF22 Table B.2 (facts, cited)</t>
  </si>
  <si>
    <t>Confirm the concentration target/units are correct for AU practice. NB carbamazepine shows 5–12 mg/L here vs 4–10 mg/L in the nti register — reconcile the source.</t>
  </si>
  <si>
    <t>reference-only, engine-isolated (concentration, not a dose)</t>
  </si>
  <si>
    <t>lithium</t>
  </si>
  <si>
    <t>target 0.4–1.0 mmol/L (trough, serum) | toxic 1.5mmol/L | standard sample is 12 h post-dose; acute-mania target approx 0.8-1.2 mmol/L; toxic threshold lower in the elderly (&gt;1.2 mmol/L); levels rise with renal impairment, diuretics, low-sodium diet, pregnan…</t>
  </si>
  <si>
    <t>carbamazepine</t>
  </si>
  <si>
    <t>target 5–12 mg/L (trough, serum) | toxic 12mg/L | 17-50 micromol/L in SI units; autoinduces its own metabolism; pre-dose timing less critical with slow-release formulations. NB the nti register lists 4-10 mg/L for this drug — reconcile source</t>
  </si>
  <si>
    <t>valproate</t>
  </si>
  <si>
    <t>target 50–100 mg/L (trough, serum) | toxic 100mg/L | 350-700 micromol/L; up to 150 mg/L tolerated in some patients; monitoring is most useful to confirm toxicity, assess adherence or interpret interactions</t>
  </si>
  <si>
    <t>phenobarbital</t>
  </si>
  <si>
    <t>target 10–40 mg/L (trough, serum) | toxic 40mg/L | adult range; child range approx 10-30 mg/L; long half-life (approx 15-25 days) so slow to reach steady state</t>
  </si>
  <si>
    <t>lamotrigine</t>
  </si>
  <si>
    <t>target 3.0–14 mg/L (trough, serum) | 12-56 micromol/L; clearance rises in pregnancy and with the combined oral contraceptive; valproate co-administration roughly doubles the half-life while enzyme inducers shorten it</t>
  </si>
  <si>
    <t>theophylline</t>
  </si>
  <si>
    <t>target 10–20 mg/L (peak, serum) | toxic 20mg/L | adult range; steady-state peak sampled ~2-4 h post-dose; clearance reduced by heart failure, liver disease and some drugs (carbamazepine, cimetidine, ciprofloxacin, erythromycin) and increased by smo…</t>
  </si>
  <si>
    <t>perhexiline</t>
  </si>
  <si>
    <t>target 0.15–0.6 mg/L (trough, serum) | toxic 0.6mg/L | 0.5-2.0 micromol/L; non-responders target 0.60-1.2 mg/L; poor metabolisers have longer half-lives and greater toxicity risk</t>
  </si>
  <si>
    <t>administration_handling</t>
  </si>
  <si>
    <t>alendronate (tablet)</t>
  </si>
  <si>
    <t>crush=do_not_crush, disperse=not_dispersible — bisphosphonate with a local mucosal irritant effect; crushing raises the risk of oesophageal irritation/ulceration | alt: consider an IV bisphosphonate (e.g. zoledronic acid) or an oral-suspension bisphosphonate where a solid form cannot be swallowed</t>
  </si>
  <si>
    <t>APF22 Table A.4 (facts, cited)</t>
  </si>
  <si>
    <t>Confirm the crush/disperse/split guidance is correct for this specific formulation.</t>
  </si>
  <si>
    <t>aspirin (enteric-coated tablet)</t>
  </si>
  <si>
    <t>crush=do_not_crush, disperse=not_dispersible — enteric coating protects the gastric mucosa; crushing removes that protection and the local irritant effect returns | alt: non-enteric-coated or soluble/dispersible aspirin can be used instead</t>
  </si>
  <si>
    <t>diclofenac (enteric-coated tablet)</t>
  </si>
  <si>
    <t>crush=do_not_crush, disperse=not_dispersible — enteric coating limits local gastric irritation; crushing negates it | alt: diclofenac suppository or topical gel, or an oral-suspension NSAID (e.g. naproxen), are available</t>
  </si>
  <si>
    <t>azathioprine (tablet)</t>
  </si>
  <si>
    <t>crush=do_not_crush, disperse=not_dispersible — cytotoxic/hazardous drug — crushing generates powder that poses an occupational exposure and contamination hazard | alt: handle only with appropriate precautions; seek a suitable liquid or alternative agent for patients who cannot swallow tablets</t>
  </si>
  <si>
    <t>methotrexate (tablet)</t>
  </si>
  <si>
    <t>crush=do_not_crush, disperse=not_dispersible — cytotoxic/hazardous drug — crushing creates hazardous powder (occupational exposure risk) and impairs accurate dose delivery | alt: parenteral methotrexate is available where an oral solid cannot be given; handle with cytotoxic precautions</t>
  </si>
  <si>
    <t>finasteride (film-coated tablet)</t>
  </si>
  <si>
    <t>crush=do_not_crush, disperse=not_dispersible — teratogenic drug — the film coat prevents contact with the active ingredient; crushing risks exposing women who are or may be pregnant to the drug</t>
  </si>
  <si>
    <t>carbamazepine (controlled-release tablet)</t>
  </si>
  <si>
    <t>crush=do_not_crush, disperse=not_dispersible — modified-release matrix; crushing loses release control, and this narrow-therapeutic-index drug is prone to incomplete dose delivery | alt: an oral liquid is available; immediate-release tablets may be crushed but formulations are not bioequivalent</t>
  </si>
  <si>
    <t>desvenlafaxine (extended-release tablet)</t>
  </si>
  <si>
    <t>crush=do_not_crush, disperse=not_dispersible — extended-release design; crushing causes loss of release control and potential dose dumping | alt: consider an antidepressant available as an immediate-release or dispersible form (e.g. fluoxetine); escitalopram oral solution is available</t>
  </si>
  <si>
    <t>venlafaxine (extended-release capsule)</t>
  </si>
  <si>
    <t>crush=do_not_crush, disperse=not_dispersible — extended-release formulation; opening/crushing loses release control | alt: consider an immediate-release or dispersible antidepressant alternative</t>
  </si>
  <si>
    <t>felodipine (extended-release tablet)</t>
  </si>
  <si>
    <t>crush=do_not_crush, disperse=not_dispersible — modified-release calcium-channel blocker; crushing causes loss of release control | alt: a calcium-channel blocker available as immediate-release tablets (e.g. amlodipine) can be considered</t>
  </si>
  <si>
    <t>nifedipine (controlled-release tablet)</t>
  </si>
  <si>
    <t>crush=do_not_crush, disperse=not_dispersible — controlled-release design; crushing causes loss of release control, and the active ingredient is highly light-sensitive once exposed</t>
  </si>
  <si>
    <t>metformin (extended-release tablet)</t>
  </si>
  <si>
    <t>crush=do_not_crush, disperse=not_dispersible — extended-release matrix; crushing loses release control | alt: immediate-release metformin can be substituted where a modified-release form cannot be swallowed</t>
  </si>
  <si>
    <t>quetiapine (modified-release tablet)</t>
  </si>
  <si>
    <t>crush=do_not_crush, disperse=not_dispersible — modified-release design; crushing loses release control | alt: immediate-release quetiapine may be crushed where clinically appropriate</t>
  </si>
  <si>
    <t>sulfasalazine (enteric-coated tablet)</t>
  </si>
  <si>
    <t>crush=do_not_crush, disperse=not_dispersible — enteric coating alters site of release; crushing changes absorption and increases gastrointestinal side effects</t>
  </si>
  <si>
    <t>theophylline (sustained-release tablet)</t>
  </si>
  <si>
    <t>crush=do_not_crush, disperse=not_dispersible — sustained-release matrix for this narrow-therapeutic-index drug; crushing risks dose dumping and toxicity | alt: an oral liquid is available</t>
  </si>
  <si>
    <t>tramadol (sustained-release tablet)</t>
  </si>
  <si>
    <t>crush=do_not_crush, disperse=not_dispersible — sustained-release opioid; crushing causes dose dumping with overdose and seizure risk | alt: tramadol oral liquid is available</t>
  </si>
  <si>
    <t>sodium valproate (enteric-coated tablet)</t>
  </si>
  <si>
    <t>crush=do_not_crush, disperse=not_dispersible — enteric coating limits local irritation; this narrow-therapeutic-index drug is also prone to incomplete dose delivery if crushed | alt: valproate syrup, sugar-free liquid and crushable tablets are available</t>
  </si>
  <si>
    <t>verapamil (sustained-release tablet)</t>
  </si>
  <si>
    <t>crush=do_not_crush, disperse=not_dispersible — sustained-release design; crushing causes loss of release control</t>
  </si>
  <si>
    <t>potassium chloride (sustained-release tablet)</t>
  </si>
  <si>
    <t>crush=do_not_crush, disperse=not_dispersible — strong local irritant; crushing releases a concentrated bolus that can cause severe oesophageal/gastric ulceration | alt: effervescent potassium tablets are available</t>
  </si>
  <si>
    <t>bupropion (sustained-release tablet)</t>
  </si>
  <si>
    <t>crush=do_not_crush, disperse=not_dispersible — sustained-release design; crushing causes dose dumping, which raises seizure risk | alt: consider nicotine replacement therapy where a solid dose form cannot be swallowed</t>
  </si>
  <si>
    <t>lithium carbonate (sustained-release tablet)</t>
  </si>
  <si>
    <t>crush=do_not_crush, disperse=not_dispersible — sustained-release matrix for a narrow-therapeutic-index drug; crushing risks altered release and toxicity</t>
  </si>
  <si>
    <t>bisacodyl (enteric-coated tablet)</t>
  </si>
  <si>
    <t>crush=do_not_crush, disperse=not_dispersible — enteric coating targets release to the lower bowel; crushing causes gastric irritation and loss of intended action | alt: bisacodyl suppositories, or alternative laxatives in liquid/enema form, are available</t>
  </si>
  <si>
    <t>esomeprazole (enteric-coated tablet)</t>
  </si>
  <si>
    <t>crush=do_not_crush, disperse=dispersible — acid-labile proton pump inhibitor; crushing exposes the drug to gastric acid and reduces bioavailability, but the enteric-coated pellets can be dispersed intact in non-carbonated water | alt: powder for injection is available; other dispersible PPIs can be considered</t>
  </si>
  <si>
    <t>omeprazole (enteric-coated tablet)</t>
  </si>
  <si>
    <t>crush=do_not_crush, disperse=dispersible — acid-labile; crushing reduces bioavailability, but some tablet formulations disperse in non-carbonated water or fruit juice with the pellets kept intact | alt: powder for injection is available</t>
  </si>
  <si>
    <t>pantoprazole (enteric-coated tablet)</t>
  </si>
  <si>
    <t>crush=do_not_crush, disperse=dispersible — acid-labile; crushing reduces bioavailability; a dispersible granule formulation is available | alt: pantoprazole granules for dispersion are available</t>
  </si>
  <si>
    <t>lansoprazole (capsule containing enteric-coated granules)</t>
  </si>
  <si>
    <t>crush=do_not_crush, disperse=dispersible — acid-labile; the capsule may be opened and the enteric-coated granules dispersed in water or juice or sprinkled onto soft food without crushing them | alt: an orally dispersible tablet is available</t>
  </si>
  <si>
    <t>metoprolol (controlled-release tablet)</t>
  </si>
  <si>
    <t>crush=do_not_crush, disperse=not_dispersible, split=splittable — modified-release matrix; crushing loses release control, but the tablet may be halved where a dose reduction is needed | alt: an immediate-release beta blocker (e.g. carvedilol or nebivolol) can be considered</t>
  </si>
  <si>
    <t>isosorbide mononitrate (sustained-release tablet)</t>
  </si>
  <si>
    <t>crush=do_not_crush, disperse=not_dispersible, split=splittable — sustained-release design; crushing loses release control, but the tablet may be halved | alt: a glyceryl trinitrate transdermal patch can be considered</t>
  </si>
  <si>
    <t>counselling_points</t>
  </si>
  <si>
    <t>methotrexate</t>
  </si>
  <si>
    <t>[administration/essential] For inflammatory conditions this medicine is taken ONCE A WEEK, not every day. Taking it daily can cause severe, potentially fatal toxicity. Confirm the day of the week and the once-weekly schedule at every dispense.</t>
  </si>
  <si>
    <t>APF22 Section D consumer info (facts, cited)</t>
  </si>
  <si>
    <t>Confirm the consumer message is accurate and non-directive (carries no dose). Methotrexate weekly-not-daily is the safety-critical one.</t>
  </si>
  <si>
    <t>warfarin</t>
  </si>
  <si>
    <t>[administration/essential] Keep your intake of vitamin-K foods (green leafy vegetables) steady from week to week rather than avoiding them, take your dose at the same time each day, and keep your INR blood-test appointments.</t>
  </si>
  <si>
    <t>sertraline</t>
  </si>
  <si>
    <t>[duration/essential] It can take 2-4 weeks to feel the full benefit. Do not stop suddenly, as this can cause withdrawal effects; talk to your prescriber before making any change.</t>
  </si>
  <si>
    <t>doxycycline</t>
  </si>
  <si>
    <t>[side_effect_advice/essential] Your skin may burn more easily in sunlight while taking this medicine; use sun protection and avoid prolonged sun exposure.</t>
  </si>
  <si>
    <t>prednisolone</t>
  </si>
  <si>
    <t>[administration/essential] Do not stop this medicine suddenly if you have been taking it for more than a couple of weeks; the dose usually needs to be reduced gradually. Carry a steroid alert card.</t>
  </si>
  <si>
    <t>salbutamol</t>
  </si>
  <si>
    <t>[safety_netting/essential] If you need your blue reliever inhaler more often than usual (for example, more than a few times a week for symptoms), your asthma may not be well controlled; arrange a review.</t>
  </si>
  <si>
    <t>warning_labels</t>
  </si>
  <si>
    <t>promethazine (PSA-CAL-drowsiness-alcohol)</t>
  </si>
  <si>
    <t>[PSA_CAL, mandatory=False] This medicine may cause drowsiness and may increase the effects of alcohol. If affected, do not drive a vehicle or operate machinery.</t>
  </si>
  <si>
    <t>APF22 / PSA Cautionary Advisory Labels (cited)</t>
  </si>
  <si>
    <t>Confirm the PSA_CAL classification, the exact CAL number, and the exact advisory wording.</t>
  </si>
  <si>
    <t>codeine (PSA-CAL-drowsiness-alcohol)</t>
  </si>
  <si>
    <t>doxycycline (PSA-CAL-photosensitivity)</t>
  </si>
  <si>
    <t>[PSA_CAL, mandatory=False] Your skin may be more sensitive to sunlight while taking this medicine. Avoid prolonged exposure to sunlight and use sun protection.</t>
  </si>
  <si>
    <t>Kenneth Lee</t>
  </si>
  <si>
    <t>MED0001857758</t>
  </si>
  <si>
    <t>Attest all rows in this spreadsheet</t>
  </si>
  <si>
    <t>Attest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</si>
</sst>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3"/>
      <color theme="1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FEFEF"/>
        <b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2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0" borderId="0" xfId="0" applyFont="1"/>
    <xf numFmtId="14" fontId="2" fillId="6" borderId="1" xfId="0" applyNumberFormat="1" applyFont="1" applyFill="1" applyBorder="1" applyAlignment="1">
      <alignment vertical="top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opLeftCell="A3" zoomScaleNormal="100" workbookViewId="0">
      <selection activeCell="I28" sqref="I28"/>
    </sheetView>
  </sheetViews>
  <sheetFormatPr baseColWidth="10" defaultColWidth="8.6640625" defaultRowHeight="15" x14ac:dyDescent="0.2"/>
  <cols>
    <col min="1" max="1" width="62" customWidth="1"/>
    <col min="2" max="2" width="48" customWidth="1"/>
  </cols>
  <sheetData>
    <row r="1" spans="1:1" ht="19" x14ac:dyDescent="0.2">
      <c r="A1" s="1" t="s">
        <v>0</v>
      </c>
    </row>
    <row r="2" spans="1:1" ht="28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ht="70" x14ac:dyDescent="0.2">
      <c r="A5" s="2" t="s">
        <v>3</v>
      </c>
    </row>
    <row r="6" spans="1:1" x14ac:dyDescent="0.2">
      <c r="A6" s="2"/>
    </row>
    <row r="7" spans="1:1" x14ac:dyDescent="0.2">
      <c r="A7" s="3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ht="28" x14ac:dyDescent="0.2">
      <c r="A11" s="2" t="s">
        <v>8</v>
      </c>
    </row>
    <row r="12" spans="1:1" ht="42" x14ac:dyDescent="0.2">
      <c r="A12" s="2" t="s">
        <v>9</v>
      </c>
    </row>
    <row r="13" spans="1:1" x14ac:dyDescent="0.2">
      <c r="A13" s="2"/>
    </row>
    <row r="14" spans="1:1" x14ac:dyDescent="0.2">
      <c r="A14" s="3" t="s">
        <v>10</v>
      </c>
    </row>
    <row r="15" spans="1:1" ht="28" x14ac:dyDescent="0.2">
      <c r="A15" s="4" t="s">
        <v>11</v>
      </c>
    </row>
    <row r="16" spans="1:1" ht="28" x14ac:dyDescent="0.2">
      <c r="A16" s="5" t="s">
        <v>12</v>
      </c>
    </row>
    <row r="17" spans="1:2" ht="28" x14ac:dyDescent="0.2">
      <c r="A17" s="6" t="s">
        <v>13</v>
      </c>
    </row>
    <row r="18" spans="1:2" ht="28" x14ac:dyDescent="0.2">
      <c r="A18" s="7" t="s">
        <v>14</v>
      </c>
    </row>
    <row r="19" spans="1:2" x14ac:dyDescent="0.2">
      <c r="A19" s="2"/>
    </row>
    <row r="20" spans="1:2" x14ac:dyDescent="0.2">
      <c r="A20" s="3" t="s">
        <v>15</v>
      </c>
    </row>
    <row r="21" spans="1:2" x14ac:dyDescent="0.2">
      <c r="A21" s="8" t="s">
        <v>16</v>
      </c>
      <c r="B21" s="8">
        <f>COUNTA('Sign-off worksheet'!D3:D90)</f>
        <v>88</v>
      </c>
    </row>
    <row r="22" spans="1:2" x14ac:dyDescent="0.2">
      <c r="A22" s="9" t="s">
        <v>17</v>
      </c>
      <c r="B22" s="8">
        <v>88</v>
      </c>
    </row>
    <row r="23" spans="1:2" x14ac:dyDescent="0.2">
      <c r="A23" s="9" t="s">
        <v>18</v>
      </c>
      <c r="B23" s="8">
        <f>COUNTIF('Sign-off worksheet'!I3:I90,"Amend")</f>
        <v>0</v>
      </c>
    </row>
    <row r="24" spans="1:2" x14ac:dyDescent="0.2">
      <c r="A24" s="9" t="s">
        <v>19</v>
      </c>
      <c r="B24" s="8">
        <f>COUNTIF('Sign-off worksheet'!I3:I90,"Reject")</f>
        <v>0</v>
      </c>
    </row>
    <row r="25" spans="1:2" x14ac:dyDescent="0.2">
      <c r="A25" s="9" t="s">
        <v>20</v>
      </c>
      <c r="B25" s="8">
        <f>B21-B22-B23-B24</f>
        <v>0</v>
      </c>
    </row>
    <row r="27" spans="1:2" x14ac:dyDescent="0.2">
      <c r="A27" s="10" t="s">
        <v>21</v>
      </c>
    </row>
    <row r="28" spans="1:2" ht="42" x14ac:dyDescent="0.2">
      <c r="A28" s="2" t="s">
        <v>22</v>
      </c>
    </row>
    <row r="29" spans="1:2" ht="28" x14ac:dyDescent="0.2">
      <c r="A29" s="2" t="s">
        <v>23</v>
      </c>
    </row>
    <row r="30" spans="1:2" ht="28" x14ac:dyDescent="0.2">
      <c r="A30" s="2" t="s">
        <v>24</v>
      </c>
    </row>
    <row r="31" spans="1:2" x14ac:dyDescent="0.2">
      <c r="A31" s="2" t="s">
        <v>25</v>
      </c>
    </row>
    <row r="32" spans="1:2" ht="28" x14ac:dyDescent="0.2">
      <c r="A32" s="2" t="s">
        <v>26</v>
      </c>
    </row>
    <row r="34" spans="1:2" x14ac:dyDescent="0.2">
      <c r="A34" s="10" t="s">
        <v>27</v>
      </c>
    </row>
    <row r="35" spans="1:2" x14ac:dyDescent="0.2">
      <c r="A35" s="8" t="s">
        <v>28</v>
      </c>
      <c r="B35" s="19" t="s">
        <v>259</v>
      </c>
    </row>
    <row r="36" spans="1:2" ht="17" x14ac:dyDescent="0.2">
      <c r="A36" s="8" t="s">
        <v>29</v>
      </c>
      <c r="B36" s="20" t="s">
        <v>260</v>
      </c>
    </row>
    <row r="37" spans="1:2" x14ac:dyDescent="0.2">
      <c r="A37" s="8" t="s">
        <v>30</v>
      </c>
      <c r="B37" s="21">
        <v>46217</v>
      </c>
    </row>
    <row r="38" spans="1:2" x14ac:dyDescent="0.2">
      <c r="A38" s="8" t="s">
        <v>31</v>
      </c>
      <c r="B38" s="19" t="s">
        <v>261</v>
      </c>
    </row>
    <row r="39" spans="1:2" ht="42" x14ac:dyDescent="0.2">
      <c r="A39" s="8" t="s">
        <v>32</v>
      </c>
      <c r="B39" s="11" t="s">
        <v>33</v>
      </c>
    </row>
    <row r="40" spans="1:2" x14ac:dyDescent="0.2">
      <c r="A40" s="8" t="s">
        <v>34</v>
      </c>
      <c r="B40" s="19" t="s">
        <v>259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"/>
  <sheetViews>
    <sheetView tabSelected="1" topLeftCell="D1" zoomScaleNormal="100" workbookViewId="0">
      <pane ySplit="2" topLeftCell="A83" activePane="bottomLeft" state="frozen"/>
      <selection pane="bottomLeft" activeCell="I94" sqref="I94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22" customWidth="1"/>
    <col min="4" max="4" width="30" customWidth="1"/>
    <col min="5" max="5" width="60" customWidth="1"/>
    <col min="6" max="6" width="30" customWidth="1"/>
    <col min="7" max="7" width="52" customWidth="1"/>
    <col min="8" max="8" width="26" customWidth="1"/>
    <col min="9" max="9" width="12" customWidth="1"/>
    <col min="10" max="10" width="34" customWidth="1"/>
  </cols>
  <sheetData>
    <row r="1" spans="1:10" ht="30" customHeight="1" x14ac:dyDescent="0.2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</row>
    <row r="2" spans="1:10" ht="15" customHeight="1" x14ac:dyDescent="0.2">
      <c r="A2" s="22" t="s">
        <v>45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65" x14ac:dyDescent="0.2">
      <c r="A3" s="13">
        <v>1</v>
      </c>
      <c r="B3" s="14" t="s">
        <v>46</v>
      </c>
      <c r="C3" s="13" t="s">
        <v>47</v>
      </c>
      <c r="D3" s="13" t="s">
        <v>48</v>
      </c>
      <c r="E3" s="13" t="s">
        <v>49</v>
      </c>
      <c r="F3" s="13" t="s">
        <v>50</v>
      </c>
      <c r="G3" s="13" t="s">
        <v>51</v>
      </c>
      <c r="H3" s="13" t="s">
        <v>52</v>
      </c>
      <c r="I3" s="15" t="s">
        <v>262</v>
      </c>
      <c r="J3" s="13"/>
    </row>
    <row r="4" spans="1:10" ht="39" x14ac:dyDescent="0.2">
      <c r="A4" s="13">
        <v>2</v>
      </c>
      <c r="B4" s="14" t="s">
        <v>46</v>
      </c>
      <c r="C4" s="13" t="s">
        <v>53</v>
      </c>
      <c r="D4" s="13" t="s">
        <v>54</v>
      </c>
      <c r="E4" s="13" t="s">
        <v>55</v>
      </c>
      <c r="F4" s="13" t="s">
        <v>56</v>
      </c>
      <c r="G4" s="13" t="s">
        <v>57</v>
      </c>
      <c r="H4" s="13" t="s">
        <v>58</v>
      </c>
      <c r="I4" s="15" t="s">
        <v>262</v>
      </c>
      <c r="J4" s="13"/>
    </row>
    <row r="5" spans="1:10" ht="39" x14ac:dyDescent="0.2">
      <c r="A5" s="13">
        <v>3</v>
      </c>
      <c r="B5" s="14" t="s">
        <v>46</v>
      </c>
      <c r="C5" s="13" t="s">
        <v>53</v>
      </c>
      <c r="D5" s="13" t="s">
        <v>59</v>
      </c>
      <c r="E5" s="13" t="s">
        <v>55</v>
      </c>
      <c r="F5" s="13" t="s">
        <v>56</v>
      </c>
      <c r="G5" s="13" t="s">
        <v>57</v>
      </c>
      <c r="H5" s="13" t="s">
        <v>58</v>
      </c>
      <c r="I5" s="15" t="s">
        <v>262</v>
      </c>
      <c r="J5" s="13"/>
    </row>
    <row r="6" spans="1:10" ht="39" x14ac:dyDescent="0.2">
      <c r="A6" s="13">
        <v>4</v>
      </c>
      <c r="B6" s="14" t="s">
        <v>46</v>
      </c>
      <c r="C6" s="13" t="s">
        <v>53</v>
      </c>
      <c r="D6" s="13" t="s">
        <v>60</v>
      </c>
      <c r="E6" s="13" t="s">
        <v>61</v>
      </c>
      <c r="F6" s="13" t="s">
        <v>56</v>
      </c>
      <c r="G6" s="13" t="s">
        <v>57</v>
      </c>
      <c r="H6" s="13" t="s">
        <v>58</v>
      </c>
      <c r="I6" s="15" t="s">
        <v>262</v>
      </c>
      <c r="J6" s="13"/>
    </row>
    <row r="7" spans="1:10" ht="39" x14ac:dyDescent="0.2">
      <c r="A7" s="13">
        <v>5</v>
      </c>
      <c r="B7" s="14" t="s">
        <v>46</v>
      </c>
      <c r="C7" s="13" t="s">
        <v>53</v>
      </c>
      <c r="D7" s="13" t="s">
        <v>62</v>
      </c>
      <c r="E7" s="13" t="s">
        <v>63</v>
      </c>
      <c r="F7" s="13" t="s">
        <v>56</v>
      </c>
      <c r="G7" s="13" t="s">
        <v>64</v>
      </c>
      <c r="H7" s="13" t="s">
        <v>58</v>
      </c>
      <c r="I7" s="15" t="s">
        <v>262</v>
      </c>
      <c r="J7" s="13"/>
    </row>
    <row r="8" spans="1:10" ht="39" x14ac:dyDescent="0.2">
      <c r="A8" s="13">
        <v>6</v>
      </c>
      <c r="B8" s="14" t="s">
        <v>46</v>
      </c>
      <c r="C8" s="13" t="s">
        <v>53</v>
      </c>
      <c r="D8" s="13" t="s">
        <v>65</v>
      </c>
      <c r="E8" s="13" t="s">
        <v>66</v>
      </c>
      <c r="F8" s="13" t="s">
        <v>56</v>
      </c>
      <c r="G8" s="13" t="s">
        <v>64</v>
      </c>
      <c r="H8" s="13" t="s">
        <v>58</v>
      </c>
      <c r="I8" s="15" t="s">
        <v>262</v>
      </c>
      <c r="J8" s="13"/>
    </row>
    <row r="9" spans="1:10" ht="39" x14ac:dyDescent="0.2">
      <c r="A9" s="13">
        <v>7</v>
      </c>
      <c r="B9" s="14" t="s">
        <v>46</v>
      </c>
      <c r="C9" s="13" t="s">
        <v>53</v>
      </c>
      <c r="D9" s="13" t="s">
        <v>67</v>
      </c>
      <c r="E9" s="13" t="s">
        <v>68</v>
      </c>
      <c r="F9" s="13" t="s">
        <v>56</v>
      </c>
      <c r="G9" s="13" t="s">
        <v>64</v>
      </c>
      <c r="H9" s="13" t="s">
        <v>58</v>
      </c>
      <c r="I9" s="15" t="s">
        <v>262</v>
      </c>
      <c r="J9" s="13"/>
    </row>
    <row r="10" spans="1:10" ht="39" x14ac:dyDescent="0.2">
      <c r="A10" s="13">
        <v>8</v>
      </c>
      <c r="B10" s="14" t="s">
        <v>46</v>
      </c>
      <c r="C10" s="13" t="s">
        <v>53</v>
      </c>
      <c r="D10" s="13" t="s">
        <v>69</v>
      </c>
      <c r="E10" s="13" t="s">
        <v>70</v>
      </c>
      <c r="F10" s="13" t="s">
        <v>56</v>
      </c>
      <c r="G10" s="13" t="s">
        <v>64</v>
      </c>
      <c r="H10" s="13" t="s">
        <v>58</v>
      </c>
      <c r="I10" s="15" t="s">
        <v>262</v>
      </c>
      <c r="J10" s="13"/>
    </row>
    <row r="11" spans="1:10" ht="39" x14ac:dyDescent="0.2">
      <c r="A11" s="13">
        <v>9</v>
      </c>
      <c r="B11" s="14" t="s">
        <v>46</v>
      </c>
      <c r="C11" s="13" t="s">
        <v>53</v>
      </c>
      <c r="D11" s="13" t="s">
        <v>71</v>
      </c>
      <c r="E11" s="13" t="s">
        <v>72</v>
      </c>
      <c r="F11" s="13" t="s">
        <v>56</v>
      </c>
      <c r="G11" s="13" t="s">
        <v>64</v>
      </c>
      <c r="H11" s="13" t="s">
        <v>58</v>
      </c>
      <c r="I11" s="15" t="s">
        <v>262</v>
      </c>
      <c r="J11" s="13"/>
    </row>
    <row r="12" spans="1:10" ht="39" x14ac:dyDescent="0.2">
      <c r="A12" s="13">
        <v>10</v>
      </c>
      <c r="B12" s="14" t="s">
        <v>46</v>
      </c>
      <c r="C12" s="13" t="s">
        <v>53</v>
      </c>
      <c r="D12" s="13" t="s">
        <v>73</v>
      </c>
      <c r="E12" s="13" t="s">
        <v>74</v>
      </c>
      <c r="F12" s="13" t="s">
        <v>56</v>
      </c>
      <c r="G12" s="13" t="s">
        <v>75</v>
      </c>
      <c r="H12" s="13" t="s">
        <v>58</v>
      </c>
      <c r="I12" s="15" t="s">
        <v>262</v>
      </c>
      <c r="J12" s="13"/>
    </row>
    <row r="13" spans="1:10" ht="39" x14ac:dyDescent="0.2">
      <c r="A13" s="13">
        <v>11</v>
      </c>
      <c r="B13" s="14" t="s">
        <v>46</v>
      </c>
      <c r="C13" s="13" t="s">
        <v>53</v>
      </c>
      <c r="D13" s="13" t="s">
        <v>76</v>
      </c>
      <c r="E13" s="13" t="s">
        <v>74</v>
      </c>
      <c r="F13" s="13" t="s">
        <v>56</v>
      </c>
      <c r="G13" s="13" t="s">
        <v>75</v>
      </c>
      <c r="H13" s="13" t="s">
        <v>58</v>
      </c>
      <c r="I13" s="15" t="s">
        <v>262</v>
      </c>
      <c r="J13" s="13"/>
    </row>
    <row r="14" spans="1:10" ht="39" x14ac:dyDescent="0.2">
      <c r="A14" s="13">
        <v>12</v>
      </c>
      <c r="B14" s="14" t="s">
        <v>46</v>
      </c>
      <c r="C14" s="13" t="s">
        <v>53</v>
      </c>
      <c r="D14" s="13" t="s">
        <v>77</v>
      </c>
      <c r="E14" s="13" t="s">
        <v>78</v>
      </c>
      <c r="F14" s="13" t="s">
        <v>56</v>
      </c>
      <c r="G14" s="13" t="s">
        <v>75</v>
      </c>
      <c r="H14" s="13" t="s">
        <v>58</v>
      </c>
      <c r="I14" s="15" t="s">
        <v>262</v>
      </c>
      <c r="J14" s="13"/>
    </row>
    <row r="15" spans="1:10" ht="39" x14ac:dyDescent="0.2">
      <c r="A15" s="13">
        <v>13</v>
      </c>
      <c r="B15" s="14" t="s">
        <v>46</v>
      </c>
      <c r="C15" s="13" t="s">
        <v>53</v>
      </c>
      <c r="D15" s="13" t="s">
        <v>79</v>
      </c>
      <c r="E15" s="13" t="s">
        <v>80</v>
      </c>
      <c r="F15" s="13" t="s">
        <v>56</v>
      </c>
      <c r="G15" s="13" t="s">
        <v>64</v>
      </c>
      <c r="H15" s="13" t="s">
        <v>58</v>
      </c>
      <c r="I15" s="15" t="s">
        <v>262</v>
      </c>
      <c r="J15" s="13"/>
    </row>
    <row r="16" spans="1:10" ht="39" x14ac:dyDescent="0.2">
      <c r="A16" s="13">
        <v>14</v>
      </c>
      <c r="B16" s="14" t="s">
        <v>46</v>
      </c>
      <c r="C16" s="13" t="s">
        <v>53</v>
      </c>
      <c r="D16" s="13" t="s">
        <v>81</v>
      </c>
      <c r="E16" s="13" t="s">
        <v>82</v>
      </c>
      <c r="F16" s="13" t="s">
        <v>56</v>
      </c>
      <c r="G16" s="13" t="s">
        <v>83</v>
      </c>
      <c r="H16" s="13" t="s">
        <v>58</v>
      </c>
      <c r="I16" s="15" t="s">
        <v>262</v>
      </c>
      <c r="J16" s="13"/>
    </row>
    <row r="17" spans="1:10" ht="39" x14ac:dyDescent="0.2">
      <c r="A17" s="13">
        <v>15</v>
      </c>
      <c r="B17" s="14" t="s">
        <v>46</v>
      </c>
      <c r="C17" s="13" t="s">
        <v>53</v>
      </c>
      <c r="D17" s="13" t="s">
        <v>84</v>
      </c>
      <c r="E17" s="13" t="s">
        <v>85</v>
      </c>
      <c r="F17" s="13" t="s">
        <v>56</v>
      </c>
      <c r="G17" s="13" t="s">
        <v>64</v>
      </c>
      <c r="H17" s="13" t="s">
        <v>58</v>
      </c>
      <c r="I17" s="15" t="s">
        <v>262</v>
      </c>
      <c r="J17" s="13"/>
    </row>
    <row r="18" spans="1:10" ht="39" x14ac:dyDescent="0.2">
      <c r="A18" s="13">
        <v>16</v>
      </c>
      <c r="B18" s="14" t="s">
        <v>46</v>
      </c>
      <c r="C18" s="13" t="s">
        <v>53</v>
      </c>
      <c r="D18" s="13" t="s">
        <v>86</v>
      </c>
      <c r="E18" s="13" t="s">
        <v>87</v>
      </c>
      <c r="F18" s="13" t="s">
        <v>56</v>
      </c>
      <c r="G18" s="13" t="s">
        <v>64</v>
      </c>
      <c r="H18" s="13" t="s">
        <v>58</v>
      </c>
      <c r="I18" s="15" t="s">
        <v>262</v>
      </c>
      <c r="J18" s="13"/>
    </row>
    <row r="19" spans="1:10" ht="39" x14ac:dyDescent="0.2">
      <c r="A19" s="13">
        <v>17</v>
      </c>
      <c r="B19" s="14" t="s">
        <v>46</v>
      </c>
      <c r="C19" s="13" t="s">
        <v>53</v>
      </c>
      <c r="D19" s="13" t="s">
        <v>88</v>
      </c>
      <c r="E19" s="13" t="s">
        <v>89</v>
      </c>
      <c r="F19" s="13" t="s">
        <v>56</v>
      </c>
      <c r="G19" s="13" t="s">
        <v>64</v>
      </c>
      <c r="H19" s="13" t="s">
        <v>58</v>
      </c>
      <c r="I19" s="15" t="s">
        <v>262</v>
      </c>
      <c r="J19" s="13"/>
    </row>
    <row r="20" spans="1:10" ht="39" x14ac:dyDescent="0.2">
      <c r="A20" s="13">
        <v>18</v>
      </c>
      <c r="B20" s="16" t="s">
        <v>90</v>
      </c>
      <c r="C20" s="13" t="s">
        <v>91</v>
      </c>
      <c r="D20" s="13" t="s">
        <v>92</v>
      </c>
      <c r="E20" s="13" t="s">
        <v>93</v>
      </c>
      <c r="F20" s="13" t="s">
        <v>94</v>
      </c>
      <c r="G20" s="13" t="s">
        <v>95</v>
      </c>
      <c r="H20" s="13" t="s">
        <v>96</v>
      </c>
      <c r="I20" s="15" t="s">
        <v>262</v>
      </c>
      <c r="J20" s="13"/>
    </row>
    <row r="21" spans="1:10" ht="39" x14ac:dyDescent="0.2">
      <c r="A21" s="13">
        <v>19</v>
      </c>
      <c r="B21" s="16" t="s">
        <v>90</v>
      </c>
      <c r="C21" s="13" t="s">
        <v>91</v>
      </c>
      <c r="D21" s="13" t="s">
        <v>97</v>
      </c>
      <c r="E21" s="13" t="s">
        <v>98</v>
      </c>
      <c r="F21" s="13" t="s">
        <v>94</v>
      </c>
      <c r="G21" s="13" t="s">
        <v>95</v>
      </c>
      <c r="H21" s="13" t="s">
        <v>96</v>
      </c>
      <c r="I21" s="15" t="s">
        <v>262</v>
      </c>
      <c r="J21" s="13"/>
    </row>
    <row r="22" spans="1:10" ht="39" x14ac:dyDescent="0.2">
      <c r="A22" s="13">
        <v>20</v>
      </c>
      <c r="B22" s="16" t="s">
        <v>90</v>
      </c>
      <c r="C22" s="13" t="s">
        <v>91</v>
      </c>
      <c r="D22" s="13" t="s">
        <v>99</v>
      </c>
      <c r="E22" s="13" t="s">
        <v>100</v>
      </c>
      <c r="F22" s="13" t="s">
        <v>94</v>
      </c>
      <c r="G22" s="13" t="s">
        <v>95</v>
      </c>
      <c r="H22" s="13" t="s">
        <v>96</v>
      </c>
      <c r="I22" s="15" t="s">
        <v>262</v>
      </c>
      <c r="J22" s="13"/>
    </row>
    <row r="23" spans="1:10" ht="39" x14ac:dyDescent="0.2">
      <c r="A23" s="13">
        <v>21</v>
      </c>
      <c r="B23" s="16" t="s">
        <v>90</v>
      </c>
      <c r="C23" s="13" t="s">
        <v>91</v>
      </c>
      <c r="D23" s="13" t="s">
        <v>101</v>
      </c>
      <c r="E23" s="13" t="s">
        <v>102</v>
      </c>
      <c r="F23" s="13" t="s">
        <v>94</v>
      </c>
      <c r="G23" s="13" t="s">
        <v>95</v>
      </c>
      <c r="H23" s="13" t="s">
        <v>96</v>
      </c>
      <c r="I23" s="15" t="s">
        <v>262</v>
      </c>
      <c r="J23" s="13"/>
    </row>
    <row r="24" spans="1:10" ht="52" x14ac:dyDescent="0.2">
      <c r="A24" s="13">
        <v>22</v>
      </c>
      <c r="B24" s="16" t="s">
        <v>90</v>
      </c>
      <c r="C24" s="13" t="s">
        <v>91</v>
      </c>
      <c r="D24" s="13" t="s">
        <v>103</v>
      </c>
      <c r="E24" s="13" t="s">
        <v>104</v>
      </c>
      <c r="F24" s="13" t="s">
        <v>94</v>
      </c>
      <c r="G24" s="13" t="s">
        <v>95</v>
      </c>
      <c r="H24" s="13" t="s">
        <v>96</v>
      </c>
      <c r="I24" s="15" t="s">
        <v>262</v>
      </c>
      <c r="J24" s="13"/>
    </row>
    <row r="25" spans="1:10" ht="39" x14ac:dyDescent="0.2">
      <c r="A25" s="13">
        <v>23</v>
      </c>
      <c r="B25" s="16" t="s">
        <v>90</v>
      </c>
      <c r="C25" s="13" t="s">
        <v>91</v>
      </c>
      <c r="D25" s="13" t="s">
        <v>105</v>
      </c>
      <c r="E25" s="13" t="s">
        <v>106</v>
      </c>
      <c r="F25" s="13" t="s">
        <v>94</v>
      </c>
      <c r="G25" s="13" t="s">
        <v>95</v>
      </c>
      <c r="H25" s="13" t="s">
        <v>96</v>
      </c>
      <c r="I25" s="15" t="s">
        <v>262</v>
      </c>
      <c r="J25" s="13"/>
    </row>
    <row r="26" spans="1:10" ht="39" x14ac:dyDescent="0.2">
      <c r="A26" s="13">
        <v>24</v>
      </c>
      <c r="B26" s="16" t="s">
        <v>90</v>
      </c>
      <c r="C26" s="13" t="s">
        <v>91</v>
      </c>
      <c r="D26" s="13" t="s">
        <v>107</v>
      </c>
      <c r="E26" s="13" t="s">
        <v>108</v>
      </c>
      <c r="F26" s="13" t="s">
        <v>94</v>
      </c>
      <c r="G26" s="13" t="s">
        <v>95</v>
      </c>
      <c r="H26" s="13" t="s">
        <v>96</v>
      </c>
      <c r="I26" s="15" t="s">
        <v>262</v>
      </c>
      <c r="J26" s="13"/>
    </row>
    <row r="27" spans="1:10" ht="39" x14ac:dyDescent="0.2">
      <c r="A27" s="13">
        <v>25</v>
      </c>
      <c r="B27" s="16" t="s">
        <v>90</v>
      </c>
      <c r="C27" s="13" t="s">
        <v>91</v>
      </c>
      <c r="D27" s="13" t="s">
        <v>109</v>
      </c>
      <c r="E27" s="13" t="s">
        <v>110</v>
      </c>
      <c r="F27" s="13" t="s">
        <v>94</v>
      </c>
      <c r="G27" s="13" t="s">
        <v>95</v>
      </c>
      <c r="H27" s="13" t="s">
        <v>96</v>
      </c>
      <c r="I27" s="15" t="s">
        <v>262</v>
      </c>
      <c r="J27" s="13"/>
    </row>
    <row r="28" spans="1:10" ht="39" x14ac:dyDescent="0.2">
      <c r="A28" s="13">
        <v>26</v>
      </c>
      <c r="B28" s="16" t="s">
        <v>90</v>
      </c>
      <c r="C28" s="13" t="s">
        <v>91</v>
      </c>
      <c r="D28" s="13" t="s">
        <v>111</v>
      </c>
      <c r="E28" s="13" t="s">
        <v>112</v>
      </c>
      <c r="F28" s="13" t="s">
        <v>94</v>
      </c>
      <c r="G28" s="13" t="s">
        <v>95</v>
      </c>
      <c r="H28" s="13" t="s">
        <v>96</v>
      </c>
      <c r="I28" s="15" t="s">
        <v>262</v>
      </c>
      <c r="J28" s="13"/>
    </row>
    <row r="29" spans="1:10" ht="39" x14ac:dyDescent="0.2">
      <c r="A29" s="13">
        <v>27</v>
      </c>
      <c r="B29" s="16" t="s">
        <v>90</v>
      </c>
      <c r="C29" s="13" t="s">
        <v>91</v>
      </c>
      <c r="D29" s="13" t="s">
        <v>113</v>
      </c>
      <c r="E29" s="13" t="s">
        <v>114</v>
      </c>
      <c r="F29" s="13" t="s">
        <v>94</v>
      </c>
      <c r="G29" s="13" t="s">
        <v>95</v>
      </c>
      <c r="H29" s="13" t="s">
        <v>96</v>
      </c>
      <c r="I29" s="15" t="s">
        <v>262</v>
      </c>
      <c r="J29" s="13"/>
    </row>
    <row r="30" spans="1:10" ht="39" x14ac:dyDescent="0.2">
      <c r="A30" s="13">
        <v>28</v>
      </c>
      <c r="B30" s="16" t="s">
        <v>90</v>
      </c>
      <c r="C30" s="13" t="s">
        <v>91</v>
      </c>
      <c r="D30" s="13" t="s">
        <v>115</v>
      </c>
      <c r="E30" s="13" t="s">
        <v>116</v>
      </c>
      <c r="F30" s="13" t="s">
        <v>94</v>
      </c>
      <c r="G30" s="13" t="s">
        <v>95</v>
      </c>
      <c r="H30" s="13" t="s">
        <v>96</v>
      </c>
      <c r="I30" s="15" t="s">
        <v>262</v>
      </c>
      <c r="J30" s="13"/>
    </row>
    <row r="31" spans="1:10" ht="52" x14ac:dyDescent="0.2">
      <c r="A31" s="13">
        <v>29</v>
      </c>
      <c r="B31" s="16" t="s">
        <v>90</v>
      </c>
      <c r="C31" s="13" t="s">
        <v>117</v>
      </c>
      <c r="D31" s="13" t="s">
        <v>118</v>
      </c>
      <c r="E31" s="13" t="s">
        <v>119</v>
      </c>
      <c r="F31" s="13" t="s">
        <v>94</v>
      </c>
      <c r="G31" s="13" t="s">
        <v>120</v>
      </c>
      <c r="H31" s="13" t="s">
        <v>121</v>
      </c>
      <c r="I31" s="15" t="s">
        <v>262</v>
      </c>
      <c r="J31" s="13"/>
    </row>
    <row r="32" spans="1:10" ht="65" x14ac:dyDescent="0.2">
      <c r="A32" s="13">
        <v>30</v>
      </c>
      <c r="B32" s="16" t="s">
        <v>90</v>
      </c>
      <c r="C32" s="13" t="s">
        <v>117</v>
      </c>
      <c r="D32" s="13" t="s">
        <v>122</v>
      </c>
      <c r="E32" s="13" t="s">
        <v>123</v>
      </c>
      <c r="F32" s="13" t="s">
        <v>94</v>
      </c>
      <c r="G32" s="13" t="s">
        <v>120</v>
      </c>
      <c r="H32" s="13" t="s">
        <v>121</v>
      </c>
      <c r="I32" s="15" t="s">
        <v>262</v>
      </c>
      <c r="J32" s="13"/>
    </row>
    <row r="33" spans="1:10" ht="52" x14ac:dyDescent="0.2">
      <c r="A33" s="13">
        <v>31</v>
      </c>
      <c r="B33" s="16" t="s">
        <v>90</v>
      </c>
      <c r="C33" s="13" t="s">
        <v>117</v>
      </c>
      <c r="D33" s="13" t="s">
        <v>124</v>
      </c>
      <c r="E33" s="13" t="s">
        <v>125</v>
      </c>
      <c r="F33" s="13" t="s">
        <v>94</v>
      </c>
      <c r="G33" s="13" t="s">
        <v>120</v>
      </c>
      <c r="H33" s="13" t="s">
        <v>121</v>
      </c>
      <c r="I33" s="15" t="s">
        <v>262</v>
      </c>
      <c r="J33" s="13"/>
    </row>
    <row r="34" spans="1:10" ht="52" x14ac:dyDescent="0.2">
      <c r="A34" s="13">
        <v>32</v>
      </c>
      <c r="B34" s="16" t="s">
        <v>90</v>
      </c>
      <c r="C34" s="13" t="s">
        <v>117</v>
      </c>
      <c r="D34" s="13" t="s">
        <v>126</v>
      </c>
      <c r="E34" s="13" t="s">
        <v>127</v>
      </c>
      <c r="F34" s="13" t="s">
        <v>94</v>
      </c>
      <c r="G34" s="13" t="s">
        <v>120</v>
      </c>
      <c r="H34" s="13" t="s">
        <v>121</v>
      </c>
      <c r="I34" s="15" t="s">
        <v>262</v>
      </c>
      <c r="J34" s="13"/>
    </row>
    <row r="35" spans="1:10" ht="52" x14ac:dyDescent="0.2">
      <c r="A35" s="13">
        <v>33</v>
      </c>
      <c r="B35" s="16" t="s">
        <v>90</v>
      </c>
      <c r="C35" s="13" t="s">
        <v>117</v>
      </c>
      <c r="D35" s="13" t="s">
        <v>128</v>
      </c>
      <c r="E35" s="13" t="s">
        <v>129</v>
      </c>
      <c r="F35" s="13" t="s">
        <v>94</v>
      </c>
      <c r="G35" s="13" t="s">
        <v>120</v>
      </c>
      <c r="H35" s="13" t="s">
        <v>121</v>
      </c>
      <c r="I35" s="15" t="s">
        <v>262</v>
      </c>
      <c r="J35" s="13"/>
    </row>
    <row r="36" spans="1:10" ht="52" x14ac:dyDescent="0.2">
      <c r="A36" s="13">
        <v>34</v>
      </c>
      <c r="B36" s="16" t="s">
        <v>90</v>
      </c>
      <c r="C36" s="13" t="s">
        <v>117</v>
      </c>
      <c r="D36" s="13" t="s">
        <v>130</v>
      </c>
      <c r="E36" s="13" t="s">
        <v>131</v>
      </c>
      <c r="F36" s="13" t="s">
        <v>94</v>
      </c>
      <c r="G36" s="13" t="s">
        <v>120</v>
      </c>
      <c r="H36" s="13" t="s">
        <v>121</v>
      </c>
      <c r="I36" s="15" t="s">
        <v>262</v>
      </c>
      <c r="J36" s="13"/>
    </row>
    <row r="37" spans="1:10" ht="39" x14ac:dyDescent="0.2">
      <c r="A37" s="13">
        <v>35</v>
      </c>
      <c r="B37" s="16" t="s">
        <v>90</v>
      </c>
      <c r="C37" s="13" t="s">
        <v>117</v>
      </c>
      <c r="D37" s="13" t="s">
        <v>132</v>
      </c>
      <c r="E37" s="13" t="s">
        <v>133</v>
      </c>
      <c r="F37" s="13" t="s">
        <v>94</v>
      </c>
      <c r="G37" s="13" t="s">
        <v>120</v>
      </c>
      <c r="H37" s="13" t="s">
        <v>121</v>
      </c>
      <c r="I37" s="15" t="s">
        <v>262</v>
      </c>
      <c r="J37" s="13"/>
    </row>
    <row r="38" spans="1:10" ht="65" x14ac:dyDescent="0.2">
      <c r="A38" s="13">
        <v>36</v>
      </c>
      <c r="B38" s="16" t="s">
        <v>90</v>
      </c>
      <c r="C38" s="13" t="s">
        <v>117</v>
      </c>
      <c r="D38" s="13" t="s">
        <v>134</v>
      </c>
      <c r="E38" s="13" t="s">
        <v>135</v>
      </c>
      <c r="F38" s="13" t="s">
        <v>94</v>
      </c>
      <c r="G38" s="13" t="s">
        <v>120</v>
      </c>
      <c r="H38" s="13" t="s">
        <v>121</v>
      </c>
      <c r="I38" s="15" t="s">
        <v>262</v>
      </c>
      <c r="J38" s="13"/>
    </row>
    <row r="39" spans="1:10" ht="52" x14ac:dyDescent="0.2">
      <c r="A39" s="13">
        <v>37</v>
      </c>
      <c r="B39" s="16" t="s">
        <v>90</v>
      </c>
      <c r="C39" s="13" t="s">
        <v>117</v>
      </c>
      <c r="D39" s="13" t="s">
        <v>136</v>
      </c>
      <c r="E39" s="13" t="s">
        <v>137</v>
      </c>
      <c r="F39" s="13" t="s">
        <v>94</v>
      </c>
      <c r="G39" s="13" t="s">
        <v>120</v>
      </c>
      <c r="H39" s="13" t="s">
        <v>121</v>
      </c>
      <c r="I39" s="15" t="s">
        <v>262</v>
      </c>
      <c r="J39" s="13"/>
    </row>
    <row r="40" spans="1:10" ht="52" x14ac:dyDescent="0.2">
      <c r="A40" s="13">
        <v>38</v>
      </c>
      <c r="B40" s="16" t="s">
        <v>90</v>
      </c>
      <c r="C40" s="13" t="s">
        <v>117</v>
      </c>
      <c r="D40" s="13" t="s">
        <v>138</v>
      </c>
      <c r="E40" s="13" t="s">
        <v>139</v>
      </c>
      <c r="F40" s="13" t="s">
        <v>94</v>
      </c>
      <c r="G40" s="13" t="s">
        <v>120</v>
      </c>
      <c r="H40" s="13" t="s">
        <v>121</v>
      </c>
      <c r="I40" s="15" t="s">
        <v>262</v>
      </c>
      <c r="J40" s="13"/>
    </row>
    <row r="41" spans="1:10" ht="52" x14ac:dyDescent="0.2">
      <c r="A41" s="13">
        <v>39</v>
      </c>
      <c r="B41" s="16" t="s">
        <v>90</v>
      </c>
      <c r="C41" s="13" t="s">
        <v>117</v>
      </c>
      <c r="D41" s="13" t="s">
        <v>140</v>
      </c>
      <c r="E41" s="13" t="s">
        <v>141</v>
      </c>
      <c r="F41" s="13" t="s">
        <v>94</v>
      </c>
      <c r="G41" s="13" t="s">
        <v>120</v>
      </c>
      <c r="H41" s="13" t="s">
        <v>121</v>
      </c>
      <c r="I41" s="15" t="s">
        <v>262</v>
      </c>
      <c r="J41" s="13"/>
    </row>
    <row r="42" spans="1:10" ht="52" x14ac:dyDescent="0.2">
      <c r="A42" s="13">
        <v>40</v>
      </c>
      <c r="B42" s="16" t="s">
        <v>90</v>
      </c>
      <c r="C42" s="13" t="s">
        <v>117</v>
      </c>
      <c r="D42" s="13" t="s">
        <v>142</v>
      </c>
      <c r="E42" s="13" t="s">
        <v>143</v>
      </c>
      <c r="F42" s="13" t="s">
        <v>94</v>
      </c>
      <c r="G42" s="13" t="s">
        <v>120</v>
      </c>
      <c r="H42" s="13" t="s">
        <v>121</v>
      </c>
      <c r="I42" s="15" t="s">
        <v>262</v>
      </c>
      <c r="J42" s="13"/>
    </row>
    <row r="43" spans="1:10" ht="52" x14ac:dyDescent="0.2">
      <c r="A43" s="13">
        <v>41</v>
      </c>
      <c r="B43" s="16" t="s">
        <v>90</v>
      </c>
      <c r="C43" s="13" t="s">
        <v>117</v>
      </c>
      <c r="D43" s="13" t="s">
        <v>144</v>
      </c>
      <c r="E43" s="13" t="s">
        <v>145</v>
      </c>
      <c r="F43" s="13" t="s">
        <v>94</v>
      </c>
      <c r="G43" s="13" t="s">
        <v>120</v>
      </c>
      <c r="H43" s="13" t="s">
        <v>121</v>
      </c>
      <c r="I43" s="15" t="s">
        <v>262</v>
      </c>
      <c r="J43" s="13"/>
    </row>
    <row r="44" spans="1:10" ht="143" x14ac:dyDescent="0.2">
      <c r="A44" s="13">
        <v>42</v>
      </c>
      <c r="B44" s="17" t="s">
        <v>146</v>
      </c>
      <c r="C44" s="13" t="s">
        <v>147</v>
      </c>
      <c r="D44" s="13" t="s">
        <v>148</v>
      </c>
      <c r="E44" s="13" t="s">
        <v>149</v>
      </c>
      <c r="F44" s="13" t="s">
        <v>150</v>
      </c>
      <c r="G44" s="13" t="s">
        <v>151</v>
      </c>
      <c r="H44" s="13" t="s">
        <v>152</v>
      </c>
      <c r="I44" s="15" t="s">
        <v>262</v>
      </c>
      <c r="J44" s="13"/>
    </row>
    <row r="45" spans="1:10" ht="130" x14ac:dyDescent="0.2">
      <c r="A45" s="13">
        <v>43</v>
      </c>
      <c r="B45" s="17" t="s">
        <v>146</v>
      </c>
      <c r="C45" s="13" t="s">
        <v>147</v>
      </c>
      <c r="D45" s="13" t="s">
        <v>153</v>
      </c>
      <c r="E45" s="13" t="s">
        <v>154</v>
      </c>
      <c r="F45" s="13" t="s">
        <v>155</v>
      </c>
      <c r="G45" s="13" t="s">
        <v>151</v>
      </c>
      <c r="H45" s="13" t="s">
        <v>152</v>
      </c>
      <c r="I45" s="15" t="s">
        <v>262</v>
      </c>
      <c r="J45" s="13"/>
    </row>
    <row r="46" spans="1:10" ht="52" x14ac:dyDescent="0.2">
      <c r="A46" s="13">
        <v>44</v>
      </c>
      <c r="B46" s="18" t="s">
        <v>156</v>
      </c>
      <c r="C46" s="13" t="s">
        <v>157</v>
      </c>
      <c r="D46" s="13" t="s">
        <v>158</v>
      </c>
      <c r="E46" s="13" t="s">
        <v>159</v>
      </c>
      <c r="F46" s="13" t="s">
        <v>160</v>
      </c>
      <c r="G46" s="13" t="s">
        <v>161</v>
      </c>
      <c r="H46" s="13" t="s">
        <v>162</v>
      </c>
      <c r="I46" s="15" t="s">
        <v>262</v>
      </c>
      <c r="J46" s="13"/>
    </row>
    <row r="47" spans="1:10" ht="52" x14ac:dyDescent="0.2">
      <c r="A47" s="13">
        <v>45</v>
      </c>
      <c r="B47" s="18" t="s">
        <v>156</v>
      </c>
      <c r="C47" s="13" t="s">
        <v>157</v>
      </c>
      <c r="D47" s="13" t="s">
        <v>163</v>
      </c>
      <c r="E47" s="13" t="s">
        <v>164</v>
      </c>
      <c r="F47" s="13" t="s">
        <v>160</v>
      </c>
      <c r="G47" s="13" t="s">
        <v>161</v>
      </c>
      <c r="H47" s="13" t="s">
        <v>162</v>
      </c>
      <c r="I47" s="15" t="s">
        <v>262</v>
      </c>
      <c r="J47" s="13"/>
    </row>
    <row r="48" spans="1:10" ht="39" x14ac:dyDescent="0.2">
      <c r="A48" s="13">
        <v>46</v>
      </c>
      <c r="B48" s="18" t="s">
        <v>156</v>
      </c>
      <c r="C48" s="13" t="s">
        <v>157</v>
      </c>
      <c r="D48" s="13" t="s">
        <v>165</v>
      </c>
      <c r="E48" s="13" t="s">
        <v>166</v>
      </c>
      <c r="F48" s="13" t="s">
        <v>160</v>
      </c>
      <c r="G48" s="13" t="s">
        <v>161</v>
      </c>
      <c r="H48" s="13" t="s">
        <v>162</v>
      </c>
      <c r="I48" s="15" t="s">
        <v>262</v>
      </c>
      <c r="J48" s="13"/>
    </row>
    <row r="49" spans="1:10" ht="39" x14ac:dyDescent="0.2">
      <c r="A49" s="13">
        <v>47</v>
      </c>
      <c r="B49" s="18" t="s">
        <v>156</v>
      </c>
      <c r="C49" s="13" t="s">
        <v>157</v>
      </c>
      <c r="D49" s="13" t="s">
        <v>167</v>
      </c>
      <c r="E49" s="13" t="s">
        <v>168</v>
      </c>
      <c r="F49" s="13" t="s">
        <v>160</v>
      </c>
      <c r="G49" s="13" t="s">
        <v>161</v>
      </c>
      <c r="H49" s="13" t="s">
        <v>162</v>
      </c>
      <c r="I49" s="15" t="s">
        <v>262</v>
      </c>
      <c r="J49" s="13"/>
    </row>
    <row r="50" spans="1:10" ht="39" x14ac:dyDescent="0.2">
      <c r="A50" s="13">
        <v>48</v>
      </c>
      <c r="B50" s="18" t="s">
        <v>156</v>
      </c>
      <c r="C50" s="13" t="s">
        <v>157</v>
      </c>
      <c r="D50" s="13" t="s">
        <v>169</v>
      </c>
      <c r="E50" s="13" t="s">
        <v>170</v>
      </c>
      <c r="F50" s="13" t="s">
        <v>160</v>
      </c>
      <c r="G50" s="13" t="s">
        <v>161</v>
      </c>
      <c r="H50" s="13" t="s">
        <v>162</v>
      </c>
      <c r="I50" s="15" t="s">
        <v>262</v>
      </c>
      <c r="J50" s="13"/>
    </row>
    <row r="51" spans="1:10" ht="39" x14ac:dyDescent="0.2">
      <c r="A51" s="13">
        <v>49</v>
      </c>
      <c r="B51" s="18" t="s">
        <v>156</v>
      </c>
      <c r="C51" s="13" t="s">
        <v>157</v>
      </c>
      <c r="D51" s="13" t="s">
        <v>171</v>
      </c>
      <c r="E51" s="13" t="s">
        <v>172</v>
      </c>
      <c r="F51" s="13" t="s">
        <v>160</v>
      </c>
      <c r="G51" s="13" t="s">
        <v>161</v>
      </c>
      <c r="H51" s="13" t="s">
        <v>162</v>
      </c>
      <c r="I51" s="15" t="s">
        <v>262</v>
      </c>
      <c r="J51" s="13"/>
    </row>
    <row r="52" spans="1:10" ht="52" x14ac:dyDescent="0.2">
      <c r="A52" s="13">
        <v>50</v>
      </c>
      <c r="B52" s="18" t="s">
        <v>156</v>
      </c>
      <c r="C52" s="13" t="s">
        <v>157</v>
      </c>
      <c r="D52" s="13" t="s">
        <v>173</v>
      </c>
      <c r="E52" s="13" t="s">
        <v>174</v>
      </c>
      <c r="F52" s="13" t="s">
        <v>160</v>
      </c>
      <c r="G52" s="13" t="s">
        <v>161</v>
      </c>
      <c r="H52" s="13" t="s">
        <v>162</v>
      </c>
      <c r="I52" s="15" t="s">
        <v>262</v>
      </c>
      <c r="J52" s="13"/>
    </row>
    <row r="53" spans="1:10" ht="39" x14ac:dyDescent="0.2">
      <c r="A53" s="13">
        <v>51</v>
      </c>
      <c r="B53" s="18" t="s">
        <v>156</v>
      </c>
      <c r="C53" s="13" t="s">
        <v>157</v>
      </c>
      <c r="D53" s="13" t="s">
        <v>175</v>
      </c>
      <c r="E53" s="13" t="s">
        <v>176</v>
      </c>
      <c r="F53" s="13" t="s">
        <v>160</v>
      </c>
      <c r="G53" s="13" t="s">
        <v>161</v>
      </c>
      <c r="H53" s="13" t="s">
        <v>162</v>
      </c>
      <c r="I53" s="15" t="s">
        <v>262</v>
      </c>
      <c r="J53" s="13"/>
    </row>
    <row r="54" spans="1:10" ht="52" x14ac:dyDescent="0.2">
      <c r="A54" s="13">
        <v>52</v>
      </c>
      <c r="B54" s="18" t="s">
        <v>156</v>
      </c>
      <c r="C54" s="13" t="s">
        <v>177</v>
      </c>
      <c r="D54" s="13" t="s">
        <v>178</v>
      </c>
      <c r="E54" s="13" t="s">
        <v>179</v>
      </c>
      <c r="F54" s="13" t="s">
        <v>180</v>
      </c>
      <c r="G54" s="13" t="s">
        <v>181</v>
      </c>
      <c r="H54" s="13" t="s">
        <v>121</v>
      </c>
      <c r="I54" s="15" t="s">
        <v>262</v>
      </c>
      <c r="J54" s="13"/>
    </row>
    <row r="55" spans="1:10" ht="39" x14ac:dyDescent="0.2">
      <c r="A55" s="13">
        <v>53</v>
      </c>
      <c r="B55" s="18" t="s">
        <v>156</v>
      </c>
      <c r="C55" s="13" t="s">
        <v>177</v>
      </c>
      <c r="D55" s="13" t="s">
        <v>182</v>
      </c>
      <c r="E55" s="13" t="s">
        <v>183</v>
      </c>
      <c r="F55" s="13" t="s">
        <v>180</v>
      </c>
      <c r="G55" s="13" t="s">
        <v>181</v>
      </c>
      <c r="H55" s="13" t="s">
        <v>121</v>
      </c>
      <c r="I55" s="15" t="s">
        <v>262</v>
      </c>
      <c r="J55" s="13"/>
    </row>
    <row r="56" spans="1:10" ht="39" x14ac:dyDescent="0.2">
      <c r="A56" s="13">
        <v>54</v>
      </c>
      <c r="B56" s="18" t="s">
        <v>156</v>
      </c>
      <c r="C56" s="13" t="s">
        <v>177</v>
      </c>
      <c r="D56" s="13" t="s">
        <v>184</v>
      </c>
      <c r="E56" s="13" t="s">
        <v>185</v>
      </c>
      <c r="F56" s="13" t="s">
        <v>180</v>
      </c>
      <c r="G56" s="13" t="s">
        <v>181</v>
      </c>
      <c r="H56" s="13" t="s">
        <v>121</v>
      </c>
      <c r="I56" s="15" t="s">
        <v>262</v>
      </c>
      <c r="J56" s="13"/>
    </row>
    <row r="57" spans="1:10" ht="52" x14ac:dyDescent="0.2">
      <c r="A57" s="13">
        <v>55</v>
      </c>
      <c r="B57" s="18" t="s">
        <v>156</v>
      </c>
      <c r="C57" s="13" t="s">
        <v>177</v>
      </c>
      <c r="D57" s="13" t="s">
        <v>186</v>
      </c>
      <c r="E57" s="13" t="s">
        <v>187</v>
      </c>
      <c r="F57" s="13" t="s">
        <v>180</v>
      </c>
      <c r="G57" s="13" t="s">
        <v>181</v>
      </c>
      <c r="H57" s="13" t="s">
        <v>121</v>
      </c>
      <c r="I57" s="15" t="s">
        <v>262</v>
      </c>
      <c r="J57" s="13"/>
    </row>
    <row r="58" spans="1:10" ht="52" x14ac:dyDescent="0.2">
      <c r="A58" s="13">
        <v>56</v>
      </c>
      <c r="B58" s="18" t="s">
        <v>156</v>
      </c>
      <c r="C58" s="13" t="s">
        <v>177</v>
      </c>
      <c r="D58" s="13" t="s">
        <v>188</v>
      </c>
      <c r="E58" s="13" t="s">
        <v>189</v>
      </c>
      <c r="F58" s="13" t="s">
        <v>180</v>
      </c>
      <c r="G58" s="13" t="s">
        <v>181</v>
      </c>
      <c r="H58" s="13" t="s">
        <v>121</v>
      </c>
      <c r="I58" s="15" t="s">
        <v>262</v>
      </c>
      <c r="J58" s="13"/>
    </row>
    <row r="59" spans="1:10" ht="39" x14ac:dyDescent="0.2">
      <c r="A59" s="13">
        <v>57</v>
      </c>
      <c r="B59" s="18" t="s">
        <v>156</v>
      </c>
      <c r="C59" s="13" t="s">
        <v>177</v>
      </c>
      <c r="D59" s="13" t="s">
        <v>190</v>
      </c>
      <c r="E59" s="13" t="s">
        <v>191</v>
      </c>
      <c r="F59" s="13" t="s">
        <v>180</v>
      </c>
      <c r="G59" s="13" t="s">
        <v>181</v>
      </c>
      <c r="H59" s="13" t="s">
        <v>121</v>
      </c>
      <c r="I59" s="15" t="s">
        <v>262</v>
      </c>
      <c r="J59" s="13"/>
    </row>
    <row r="60" spans="1:10" ht="52" x14ac:dyDescent="0.2">
      <c r="A60" s="13">
        <v>58</v>
      </c>
      <c r="B60" s="18" t="s">
        <v>156</v>
      </c>
      <c r="C60" s="13" t="s">
        <v>177</v>
      </c>
      <c r="D60" s="13" t="s">
        <v>192</v>
      </c>
      <c r="E60" s="13" t="s">
        <v>193</v>
      </c>
      <c r="F60" s="13" t="s">
        <v>180</v>
      </c>
      <c r="G60" s="13" t="s">
        <v>181</v>
      </c>
      <c r="H60" s="13" t="s">
        <v>121</v>
      </c>
      <c r="I60" s="15" t="s">
        <v>262</v>
      </c>
      <c r="J60" s="13"/>
    </row>
    <row r="61" spans="1:10" ht="52" x14ac:dyDescent="0.2">
      <c r="A61" s="13">
        <v>59</v>
      </c>
      <c r="B61" s="18" t="s">
        <v>156</v>
      </c>
      <c r="C61" s="13" t="s">
        <v>177</v>
      </c>
      <c r="D61" s="13" t="s">
        <v>194</v>
      </c>
      <c r="E61" s="13" t="s">
        <v>195</v>
      </c>
      <c r="F61" s="13" t="s">
        <v>180</v>
      </c>
      <c r="G61" s="13" t="s">
        <v>181</v>
      </c>
      <c r="H61" s="13" t="s">
        <v>121</v>
      </c>
      <c r="I61" s="15" t="s">
        <v>262</v>
      </c>
      <c r="J61" s="13"/>
    </row>
    <row r="62" spans="1:10" ht="39" x14ac:dyDescent="0.2">
      <c r="A62" s="13">
        <v>60</v>
      </c>
      <c r="B62" s="18" t="s">
        <v>156</v>
      </c>
      <c r="C62" s="13" t="s">
        <v>177</v>
      </c>
      <c r="D62" s="13" t="s">
        <v>196</v>
      </c>
      <c r="E62" s="13" t="s">
        <v>197</v>
      </c>
      <c r="F62" s="13" t="s">
        <v>180</v>
      </c>
      <c r="G62" s="13" t="s">
        <v>181</v>
      </c>
      <c r="H62" s="13" t="s">
        <v>121</v>
      </c>
      <c r="I62" s="15" t="s">
        <v>262</v>
      </c>
      <c r="J62" s="13"/>
    </row>
    <row r="63" spans="1:10" ht="39" x14ac:dyDescent="0.2">
      <c r="A63" s="13">
        <v>61</v>
      </c>
      <c r="B63" s="18" t="s">
        <v>156</v>
      </c>
      <c r="C63" s="13" t="s">
        <v>177</v>
      </c>
      <c r="D63" s="13" t="s">
        <v>198</v>
      </c>
      <c r="E63" s="13" t="s">
        <v>199</v>
      </c>
      <c r="F63" s="13" t="s">
        <v>180</v>
      </c>
      <c r="G63" s="13" t="s">
        <v>181</v>
      </c>
      <c r="H63" s="13" t="s">
        <v>121</v>
      </c>
      <c r="I63" s="15" t="s">
        <v>262</v>
      </c>
      <c r="J63" s="13"/>
    </row>
    <row r="64" spans="1:10" ht="39" x14ac:dyDescent="0.2">
      <c r="A64" s="13">
        <v>62</v>
      </c>
      <c r="B64" s="18" t="s">
        <v>156</v>
      </c>
      <c r="C64" s="13" t="s">
        <v>177</v>
      </c>
      <c r="D64" s="13" t="s">
        <v>200</v>
      </c>
      <c r="E64" s="13" t="s">
        <v>201</v>
      </c>
      <c r="F64" s="13" t="s">
        <v>180</v>
      </c>
      <c r="G64" s="13" t="s">
        <v>181</v>
      </c>
      <c r="H64" s="13" t="s">
        <v>121</v>
      </c>
      <c r="I64" s="15" t="s">
        <v>262</v>
      </c>
      <c r="J64" s="13"/>
    </row>
    <row r="65" spans="1:10" ht="39" x14ac:dyDescent="0.2">
      <c r="A65" s="13">
        <v>63</v>
      </c>
      <c r="B65" s="18" t="s">
        <v>156</v>
      </c>
      <c r="C65" s="13" t="s">
        <v>177</v>
      </c>
      <c r="D65" s="13" t="s">
        <v>202</v>
      </c>
      <c r="E65" s="13" t="s">
        <v>203</v>
      </c>
      <c r="F65" s="13" t="s">
        <v>180</v>
      </c>
      <c r="G65" s="13" t="s">
        <v>181</v>
      </c>
      <c r="H65" s="13" t="s">
        <v>121</v>
      </c>
      <c r="I65" s="15" t="s">
        <v>262</v>
      </c>
      <c r="J65" s="13"/>
    </row>
    <row r="66" spans="1:10" ht="39" x14ac:dyDescent="0.2">
      <c r="A66" s="13">
        <v>64</v>
      </c>
      <c r="B66" s="18" t="s">
        <v>156</v>
      </c>
      <c r="C66" s="13" t="s">
        <v>177</v>
      </c>
      <c r="D66" s="13" t="s">
        <v>204</v>
      </c>
      <c r="E66" s="13" t="s">
        <v>205</v>
      </c>
      <c r="F66" s="13" t="s">
        <v>180</v>
      </c>
      <c r="G66" s="13" t="s">
        <v>181</v>
      </c>
      <c r="H66" s="13" t="s">
        <v>121</v>
      </c>
      <c r="I66" s="15" t="s">
        <v>262</v>
      </c>
      <c r="J66" s="13"/>
    </row>
    <row r="67" spans="1:10" ht="26" x14ac:dyDescent="0.2">
      <c r="A67" s="13">
        <v>65</v>
      </c>
      <c r="B67" s="18" t="s">
        <v>156</v>
      </c>
      <c r="C67" s="13" t="s">
        <v>177</v>
      </c>
      <c r="D67" s="13" t="s">
        <v>206</v>
      </c>
      <c r="E67" s="13" t="s">
        <v>207</v>
      </c>
      <c r="F67" s="13" t="s">
        <v>180</v>
      </c>
      <c r="G67" s="13" t="s">
        <v>181</v>
      </c>
      <c r="H67" s="13" t="s">
        <v>121</v>
      </c>
      <c r="I67" s="15" t="s">
        <v>262</v>
      </c>
      <c r="J67" s="13"/>
    </row>
    <row r="68" spans="1:10" ht="39" x14ac:dyDescent="0.2">
      <c r="A68" s="13">
        <v>66</v>
      </c>
      <c r="B68" s="18" t="s">
        <v>156</v>
      </c>
      <c r="C68" s="13" t="s">
        <v>177</v>
      </c>
      <c r="D68" s="13" t="s">
        <v>208</v>
      </c>
      <c r="E68" s="13" t="s">
        <v>209</v>
      </c>
      <c r="F68" s="13" t="s">
        <v>180</v>
      </c>
      <c r="G68" s="13" t="s">
        <v>181</v>
      </c>
      <c r="H68" s="13" t="s">
        <v>121</v>
      </c>
      <c r="I68" s="15" t="s">
        <v>262</v>
      </c>
      <c r="J68" s="13"/>
    </row>
    <row r="69" spans="1:10" ht="39" x14ac:dyDescent="0.2">
      <c r="A69" s="13">
        <v>67</v>
      </c>
      <c r="B69" s="18" t="s">
        <v>156</v>
      </c>
      <c r="C69" s="13" t="s">
        <v>177</v>
      </c>
      <c r="D69" s="13" t="s">
        <v>210</v>
      </c>
      <c r="E69" s="13" t="s">
        <v>211</v>
      </c>
      <c r="F69" s="13" t="s">
        <v>180</v>
      </c>
      <c r="G69" s="13" t="s">
        <v>181</v>
      </c>
      <c r="H69" s="13" t="s">
        <v>121</v>
      </c>
      <c r="I69" s="15" t="s">
        <v>262</v>
      </c>
      <c r="J69" s="13"/>
    </row>
    <row r="70" spans="1:10" ht="52" x14ac:dyDescent="0.2">
      <c r="A70" s="13">
        <v>68</v>
      </c>
      <c r="B70" s="18" t="s">
        <v>156</v>
      </c>
      <c r="C70" s="13" t="s">
        <v>177</v>
      </c>
      <c r="D70" s="13" t="s">
        <v>212</v>
      </c>
      <c r="E70" s="13" t="s">
        <v>213</v>
      </c>
      <c r="F70" s="13" t="s">
        <v>180</v>
      </c>
      <c r="G70" s="13" t="s">
        <v>181</v>
      </c>
      <c r="H70" s="13" t="s">
        <v>121</v>
      </c>
      <c r="I70" s="15" t="s">
        <v>262</v>
      </c>
      <c r="J70" s="13"/>
    </row>
    <row r="71" spans="1:10" ht="26" x14ac:dyDescent="0.2">
      <c r="A71" s="13">
        <v>69</v>
      </c>
      <c r="B71" s="18" t="s">
        <v>156</v>
      </c>
      <c r="C71" s="13" t="s">
        <v>177</v>
      </c>
      <c r="D71" s="13" t="s">
        <v>214</v>
      </c>
      <c r="E71" s="13" t="s">
        <v>215</v>
      </c>
      <c r="F71" s="13" t="s">
        <v>180</v>
      </c>
      <c r="G71" s="13" t="s">
        <v>181</v>
      </c>
      <c r="H71" s="13" t="s">
        <v>121</v>
      </c>
      <c r="I71" s="15" t="s">
        <v>262</v>
      </c>
      <c r="J71" s="13"/>
    </row>
    <row r="72" spans="1:10" ht="39" x14ac:dyDescent="0.2">
      <c r="A72" s="13">
        <v>70</v>
      </c>
      <c r="B72" s="18" t="s">
        <v>156</v>
      </c>
      <c r="C72" s="13" t="s">
        <v>177</v>
      </c>
      <c r="D72" s="13" t="s">
        <v>216</v>
      </c>
      <c r="E72" s="13" t="s">
        <v>217</v>
      </c>
      <c r="F72" s="13" t="s">
        <v>180</v>
      </c>
      <c r="G72" s="13" t="s">
        <v>181</v>
      </c>
      <c r="H72" s="13" t="s">
        <v>121</v>
      </c>
      <c r="I72" s="15" t="s">
        <v>262</v>
      </c>
      <c r="J72" s="13"/>
    </row>
    <row r="73" spans="1:10" ht="39" x14ac:dyDescent="0.2">
      <c r="A73" s="13">
        <v>71</v>
      </c>
      <c r="B73" s="18" t="s">
        <v>156</v>
      </c>
      <c r="C73" s="13" t="s">
        <v>177</v>
      </c>
      <c r="D73" s="13" t="s">
        <v>218</v>
      </c>
      <c r="E73" s="13" t="s">
        <v>219</v>
      </c>
      <c r="F73" s="13" t="s">
        <v>180</v>
      </c>
      <c r="G73" s="13" t="s">
        <v>181</v>
      </c>
      <c r="H73" s="13" t="s">
        <v>121</v>
      </c>
      <c r="I73" s="15" t="s">
        <v>262</v>
      </c>
      <c r="J73" s="13"/>
    </row>
    <row r="74" spans="1:10" ht="26" x14ac:dyDescent="0.2">
      <c r="A74" s="13">
        <v>72</v>
      </c>
      <c r="B74" s="18" t="s">
        <v>156</v>
      </c>
      <c r="C74" s="13" t="s">
        <v>177</v>
      </c>
      <c r="D74" s="13" t="s">
        <v>220</v>
      </c>
      <c r="E74" s="13" t="s">
        <v>221</v>
      </c>
      <c r="F74" s="13" t="s">
        <v>180</v>
      </c>
      <c r="G74" s="13" t="s">
        <v>181</v>
      </c>
      <c r="H74" s="13" t="s">
        <v>121</v>
      </c>
      <c r="I74" s="15" t="s">
        <v>262</v>
      </c>
      <c r="J74" s="13"/>
    </row>
    <row r="75" spans="1:10" ht="39" x14ac:dyDescent="0.2">
      <c r="A75" s="13">
        <v>73</v>
      </c>
      <c r="B75" s="18" t="s">
        <v>156</v>
      </c>
      <c r="C75" s="13" t="s">
        <v>177</v>
      </c>
      <c r="D75" s="13" t="s">
        <v>222</v>
      </c>
      <c r="E75" s="13" t="s">
        <v>223</v>
      </c>
      <c r="F75" s="13" t="s">
        <v>180</v>
      </c>
      <c r="G75" s="13" t="s">
        <v>181</v>
      </c>
      <c r="H75" s="13" t="s">
        <v>121</v>
      </c>
      <c r="I75" s="15" t="s">
        <v>262</v>
      </c>
      <c r="J75" s="13"/>
    </row>
    <row r="76" spans="1:10" ht="52" x14ac:dyDescent="0.2">
      <c r="A76" s="13">
        <v>74</v>
      </c>
      <c r="B76" s="18" t="s">
        <v>156</v>
      </c>
      <c r="C76" s="13" t="s">
        <v>177</v>
      </c>
      <c r="D76" s="13" t="s">
        <v>224</v>
      </c>
      <c r="E76" s="13" t="s">
        <v>225</v>
      </c>
      <c r="F76" s="13" t="s">
        <v>180</v>
      </c>
      <c r="G76" s="13" t="s">
        <v>181</v>
      </c>
      <c r="H76" s="13" t="s">
        <v>121</v>
      </c>
      <c r="I76" s="15" t="s">
        <v>262</v>
      </c>
      <c r="J76" s="13"/>
    </row>
    <row r="77" spans="1:10" ht="39" x14ac:dyDescent="0.2">
      <c r="A77" s="13">
        <v>75</v>
      </c>
      <c r="B77" s="18" t="s">
        <v>156</v>
      </c>
      <c r="C77" s="13" t="s">
        <v>177</v>
      </c>
      <c r="D77" s="13" t="s">
        <v>226</v>
      </c>
      <c r="E77" s="13" t="s">
        <v>227</v>
      </c>
      <c r="F77" s="13" t="s">
        <v>180</v>
      </c>
      <c r="G77" s="13" t="s">
        <v>181</v>
      </c>
      <c r="H77" s="13" t="s">
        <v>121</v>
      </c>
      <c r="I77" s="15" t="s">
        <v>262</v>
      </c>
      <c r="J77" s="13"/>
    </row>
    <row r="78" spans="1:10" ht="39" x14ac:dyDescent="0.2">
      <c r="A78" s="13">
        <v>76</v>
      </c>
      <c r="B78" s="18" t="s">
        <v>156</v>
      </c>
      <c r="C78" s="13" t="s">
        <v>177</v>
      </c>
      <c r="D78" s="13" t="s">
        <v>228</v>
      </c>
      <c r="E78" s="13" t="s">
        <v>229</v>
      </c>
      <c r="F78" s="13" t="s">
        <v>180</v>
      </c>
      <c r="G78" s="13" t="s">
        <v>181</v>
      </c>
      <c r="H78" s="13" t="s">
        <v>121</v>
      </c>
      <c r="I78" s="15" t="s">
        <v>262</v>
      </c>
      <c r="J78" s="13"/>
    </row>
    <row r="79" spans="1:10" ht="39" x14ac:dyDescent="0.2">
      <c r="A79" s="13">
        <v>77</v>
      </c>
      <c r="B79" s="18" t="s">
        <v>156</v>
      </c>
      <c r="C79" s="13" t="s">
        <v>177</v>
      </c>
      <c r="D79" s="13" t="s">
        <v>230</v>
      </c>
      <c r="E79" s="13" t="s">
        <v>231</v>
      </c>
      <c r="F79" s="13" t="s">
        <v>180</v>
      </c>
      <c r="G79" s="13" t="s">
        <v>181</v>
      </c>
      <c r="H79" s="13" t="s">
        <v>121</v>
      </c>
      <c r="I79" s="15" t="s">
        <v>262</v>
      </c>
      <c r="J79" s="13"/>
    </row>
    <row r="80" spans="1:10" ht="52" x14ac:dyDescent="0.2">
      <c r="A80" s="13">
        <v>78</v>
      </c>
      <c r="B80" s="18" t="s">
        <v>156</v>
      </c>
      <c r="C80" s="13" t="s">
        <v>177</v>
      </c>
      <c r="D80" s="13" t="s">
        <v>232</v>
      </c>
      <c r="E80" s="13" t="s">
        <v>233</v>
      </c>
      <c r="F80" s="13" t="s">
        <v>180</v>
      </c>
      <c r="G80" s="13" t="s">
        <v>181</v>
      </c>
      <c r="H80" s="13" t="s">
        <v>121</v>
      </c>
      <c r="I80" s="15" t="s">
        <v>262</v>
      </c>
      <c r="J80" s="13"/>
    </row>
    <row r="81" spans="1:10" ht="39" x14ac:dyDescent="0.2">
      <c r="A81" s="13">
        <v>79</v>
      </c>
      <c r="B81" s="18" t="s">
        <v>156</v>
      </c>
      <c r="C81" s="13" t="s">
        <v>177</v>
      </c>
      <c r="D81" s="13" t="s">
        <v>234</v>
      </c>
      <c r="E81" s="13" t="s">
        <v>235</v>
      </c>
      <c r="F81" s="13" t="s">
        <v>180</v>
      </c>
      <c r="G81" s="13" t="s">
        <v>181</v>
      </c>
      <c r="H81" s="13" t="s">
        <v>121</v>
      </c>
      <c r="I81" s="15" t="s">
        <v>262</v>
      </c>
      <c r="J81" s="13"/>
    </row>
    <row r="82" spans="1:10" ht="39" x14ac:dyDescent="0.2">
      <c r="A82" s="13">
        <v>80</v>
      </c>
      <c r="B82" s="18" t="s">
        <v>156</v>
      </c>
      <c r="C82" s="13" t="s">
        <v>236</v>
      </c>
      <c r="D82" s="13" t="s">
        <v>237</v>
      </c>
      <c r="E82" s="13" t="s">
        <v>238</v>
      </c>
      <c r="F82" s="13" t="s">
        <v>239</v>
      </c>
      <c r="G82" s="13" t="s">
        <v>240</v>
      </c>
      <c r="H82" s="13" t="s">
        <v>121</v>
      </c>
      <c r="I82" s="15" t="s">
        <v>262</v>
      </c>
      <c r="J82" s="13"/>
    </row>
    <row r="83" spans="1:10" ht="39" x14ac:dyDescent="0.2">
      <c r="A83" s="13">
        <v>81</v>
      </c>
      <c r="B83" s="18" t="s">
        <v>156</v>
      </c>
      <c r="C83" s="13" t="s">
        <v>236</v>
      </c>
      <c r="D83" s="13" t="s">
        <v>241</v>
      </c>
      <c r="E83" s="13" t="s">
        <v>242</v>
      </c>
      <c r="F83" s="13" t="s">
        <v>239</v>
      </c>
      <c r="G83" s="13" t="s">
        <v>240</v>
      </c>
      <c r="H83" s="13" t="s">
        <v>121</v>
      </c>
      <c r="I83" s="15" t="s">
        <v>262</v>
      </c>
      <c r="J83" s="13"/>
    </row>
    <row r="84" spans="1:10" ht="39" x14ac:dyDescent="0.2">
      <c r="A84" s="13">
        <v>82</v>
      </c>
      <c r="B84" s="18" t="s">
        <v>156</v>
      </c>
      <c r="C84" s="13" t="s">
        <v>236</v>
      </c>
      <c r="D84" s="13" t="s">
        <v>243</v>
      </c>
      <c r="E84" s="13" t="s">
        <v>244</v>
      </c>
      <c r="F84" s="13" t="s">
        <v>239</v>
      </c>
      <c r="G84" s="13" t="s">
        <v>240</v>
      </c>
      <c r="H84" s="13" t="s">
        <v>121</v>
      </c>
      <c r="I84" s="15" t="s">
        <v>262</v>
      </c>
      <c r="J84" s="13"/>
    </row>
    <row r="85" spans="1:10" ht="26" x14ac:dyDescent="0.2">
      <c r="A85" s="13">
        <v>83</v>
      </c>
      <c r="B85" s="18" t="s">
        <v>156</v>
      </c>
      <c r="C85" s="13" t="s">
        <v>236</v>
      </c>
      <c r="D85" s="13" t="s">
        <v>245</v>
      </c>
      <c r="E85" s="13" t="s">
        <v>246</v>
      </c>
      <c r="F85" s="13" t="s">
        <v>239</v>
      </c>
      <c r="G85" s="13" t="s">
        <v>240</v>
      </c>
      <c r="H85" s="13" t="s">
        <v>121</v>
      </c>
      <c r="I85" s="15" t="s">
        <v>262</v>
      </c>
      <c r="J85" s="13"/>
    </row>
    <row r="86" spans="1:10" ht="39" x14ac:dyDescent="0.2">
      <c r="A86" s="13">
        <v>84</v>
      </c>
      <c r="B86" s="18" t="s">
        <v>156</v>
      </c>
      <c r="C86" s="13" t="s">
        <v>236</v>
      </c>
      <c r="D86" s="13" t="s">
        <v>247</v>
      </c>
      <c r="E86" s="13" t="s">
        <v>248</v>
      </c>
      <c r="F86" s="13" t="s">
        <v>239</v>
      </c>
      <c r="G86" s="13" t="s">
        <v>240</v>
      </c>
      <c r="H86" s="13" t="s">
        <v>121</v>
      </c>
      <c r="I86" s="15" t="s">
        <v>262</v>
      </c>
      <c r="J86" s="13"/>
    </row>
    <row r="87" spans="1:10" ht="39" x14ac:dyDescent="0.2">
      <c r="A87" s="13">
        <v>85</v>
      </c>
      <c r="B87" s="18" t="s">
        <v>156</v>
      </c>
      <c r="C87" s="13" t="s">
        <v>236</v>
      </c>
      <c r="D87" s="13" t="s">
        <v>249</v>
      </c>
      <c r="E87" s="13" t="s">
        <v>250</v>
      </c>
      <c r="F87" s="13" t="s">
        <v>239</v>
      </c>
      <c r="G87" s="13" t="s">
        <v>240</v>
      </c>
      <c r="H87" s="13" t="s">
        <v>121</v>
      </c>
      <c r="I87" s="15" t="s">
        <v>262</v>
      </c>
      <c r="J87" s="13"/>
    </row>
    <row r="88" spans="1:10" ht="39" x14ac:dyDescent="0.2">
      <c r="A88" s="13">
        <v>86</v>
      </c>
      <c r="B88" s="18" t="s">
        <v>156</v>
      </c>
      <c r="C88" s="13" t="s">
        <v>251</v>
      </c>
      <c r="D88" s="13" t="s">
        <v>252</v>
      </c>
      <c r="E88" s="13" t="s">
        <v>253</v>
      </c>
      <c r="F88" s="13" t="s">
        <v>254</v>
      </c>
      <c r="G88" s="13" t="s">
        <v>255</v>
      </c>
      <c r="H88" s="13" t="s">
        <v>121</v>
      </c>
      <c r="I88" s="15" t="s">
        <v>262</v>
      </c>
      <c r="J88" s="13"/>
    </row>
    <row r="89" spans="1:10" ht="39" x14ac:dyDescent="0.2">
      <c r="A89" s="13">
        <v>87</v>
      </c>
      <c r="B89" s="18" t="s">
        <v>156</v>
      </c>
      <c r="C89" s="13" t="s">
        <v>251</v>
      </c>
      <c r="D89" s="13" t="s">
        <v>256</v>
      </c>
      <c r="E89" s="13" t="s">
        <v>253</v>
      </c>
      <c r="F89" s="13" t="s">
        <v>254</v>
      </c>
      <c r="G89" s="13" t="s">
        <v>255</v>
      </c>
      <c r="H89" s="13" t="s">
        <v>121</v>
      </c>
      <c r="I89" s="15" t="s">
        <v>262</v>
      </c>
      <c r="J89" s="13"/>
    </row>
    <row r="90" spans="1:10" ht="26" x14ac:dyDescent="0.2">
      <c r="A90" s="13">
        <v>88</v>
      </c>
      <c r="B90" s="18" t="s">
        <v>156</v>
      </c>
      <c r="C90" s="13" t="s">
        <v>251</v>
      </c>
      <c r="D90" s="13" t="s">
        <v>257</v>
      </c>
      <c r="E90" s="13" t="s">
        <v>258</v>
      </c>
      <c r="F90" s="13" t="s">
        <v>254</v>
      </c>
      <c r="G90" s="13" t="s">
        <v>255</v>
      </c>
      <c r="H90" s="13" t="s">
        <v>121</v>
      </c>
      <c r="I90" s="15" t="s">
        <v>262</v>
      </c>
      <c r="J90" s="13"/>
    </row>
  </sheetData>
  <mergeCells count="1">
    <mergeCell ref="A2:J2"/>
  </mergeCells>
  <dataValidations count="1">
    <dataValidation type="list" allowBlank="1" sqref="I3:I90" xr:uid="{00000000-0002-0000-0100-000000000000}">
      <formula1>"Attest,Amend,Reject"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Sign-off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Kenneth Lee</cp:lastModifiedBy>
  <cp:revision>0</cp:revision>
  <dcterms:created xsi:type="dcterms:W3CDTF">2026-07-14T05:21:40Z</dcterms:created>
  <dcterms:modified xsi:type="dcterms:W3CDTF">2026-07-14T05:34:52Z</dcterms:modified>
  <dc:language>en-US</dc:language>
</cp:coreProperties>
</file>