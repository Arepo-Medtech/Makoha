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leekjazz/Documents/CLAUDE/Projects/Breath Ezy Documents/files 2/"/>
    </mc:Choice>
  </mc:AlternateContent>
  <xr:revisionPtr revIDLastSave="0" documentId="13_ncr:1_{E10FBE1D-3AA9-5B45-95C5-99C485D203AC}" xr6:coauthVersionLast="47" xr6:coauthVersionMax="47" xr10:uidLastSave="{00000000-0000-0000-0000-000000000000}"/>
  <bookViews>
    <workbookView xWindow="0" yWindow="500" windowWidth="28020" windowHeight="17500" xr2:uid="{00000000-000D-0000-FFFF-FFFF00000000}"/>
  </bookViews>
  <sheets>
    <sheet name="Read me" sheetId="1" r:id="rId1"/>
    <sheet name="Sign-off workshee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 l="1"/>
  <c r="B21" i="1"/>
  <c r="B20" i="1"/>
  <c r="B19" i="1"/>
  <c r="B18" i="1"/>
</calcChain>
</file>

<file path=xl/sharedStrings.xml><?xml version="1.0" encoding="utf-8"?>
<sst xmlns="http://schemas.openxmlformats.org/spreadsheetml/2006/main" count="2812" uniqueCount="1248">
  <si>
    <t>PharmCheck — Clinician Sign-off Worksheet (draft / pending records)</t>
  </si>
  <si>
    <t>Generated 2026-07-14 from the live -dev datastore — 308 DRAFT records awaiting attestation (everything not yet clinician-approved).</t>
  </si>
  <si>
    <t>PURPOSE</t>
  </si>
  <si>
    <t>Every record here is DRAFT (review_status:draft, reviewed_by:null). This is the follow-on to the first 88-record sign-off; it covers ALL remaining draft records. Work down the 'Sign-off worksheet' tab; set a Decision on each row; sign the block below; hand to the engineer to apply.</t>
  </si>
  <si>
    <t>HOW TO USE</t>
  </si>
  <si>
    <t>1. For each row read Claim + Stated basis + What to confirm.</t>
  </si>
  <si>
    <t>2. Set Decision (column I) = Attest / Amend / Reject (dropdown).</t>
  </si>
  <si>
    <t>3. If Amend or Reject, write the correction/reason in column J.</t>
  </si>
  <si>
    <t>4. Complete the ATTESTATION block below by hand (the human sign-off the architecture requires — it cannot be auto-filled).</t>
  </si>
  <si>
    <t>5. Hand to the engineer: Attest -&gt; reviewed_by set + review_status:approved; Amend -&gt; re-authored; Reject -&gt; dropped.</t>
  </si>
  <si>
    <t>RISK TIERS (rows are ordered by these)</t>
  </si>
  <si>
    <t>Tier 3 — Dose-adjacent: dose_evidence (engine-ISOLATED, citation-verified) + the APF dose review queue. (261 rows)</t>
  </si>
  <si>
    <t>Tier 4 — Reference fact: pregnancy_risk (TGA categories), hepatic (Child-Pugh), TDM ranges, crush/disperse, counselling, labels. No dose, not engine-wired. (47 rows)</t>
  </si>
  <si>
    <t>NOTE: this batch has NO Tier 1/2 rows — all HARD_FAIL drivers and absolute contraindications were signed off on 2026-07-14 in the first worksheet.</t>
  </si>
  <si>
    <t>For warning_labels: confirm the exact CAL/RASML number + VERBATIM wording before ship (per KL's go-ahead).</t>
  </si>
  <si>
    <t>PROGRESS</t>
  </si>
  <si>
    <t>Total records</t>
  </si>
  <si>
    <t>Attested</t>
  </si>
  <si>
    <t>Amend</t>
  </si>
  <si>
    <t>Reject</t>
  </si>
  <si>
    <t>Remaining (blank)</t>
  </si>
  <si>
    <t>ATTESTATION (registered pharmacist — complete by hand; do not auto-fill)</t>
  </si>
  <si>
    <t>Date</t>
  </si>
  <si>
    <t>Statement</t>
  </si>
  <si>
    <t>Signature</t>
  </si>
  <si>
    <t>Registration no.</t>
  </si>
  <si>
    <t>PharmCheck — Sign-off worksheet · draft/pending records · 2026-07-14</t>
  </si>
  <si>
    <t>#</t>
  </si>
  <si>
    <t>Risk tier</t>
  </si>
  <si>
    <t>Capability</t>
  </si>
  <si>
    <t>Record (natural key)</t>
  </si>
  <si>
    <t>Claim / what it asserts</t>
  </si>
  <si>
    <t>Stated basis</t>
  </si>
  <si>
    <t>What to confirm</t>
  </si>
  <si>
    <t>Engine effect</t>
  </si>
  <si>
    <t>Decision</t>
  </si>
  <si>
    <t>Amendment / rejection note</t>
  </si>
  <si>
    <t>1</t>
  </si>
  <si>
    <t>Tier 3 — Dose-adjacent</t>
  </si>
  <si>
    <t>dose_evidence</t>
  </si>
  <si>
    <t>apixaban [PMID 37712551]</t>
  </si>
  <si>
    <t>In a multicentre retrospective cohort, patients given off-label reduced-dose apixaban (i.e. underdosed outside FDA package-insert dose-reduction criteria) versus standard 5 mg twice daily showed no significant difference in stroke (2.7% vs 2.2%), major bleeding (0% vs 0.7%) or clinically relevant n…</t>
  </si>
  <si>
    <t>Off-Label Reduced Dose Apixaban in Older Adults With Atrial Fibrillation and Associated Outcomes. (The Annals of pharmacotherapy 2023); source_ref=37712551</t>
  </si>
  <si>
    <t>Citation is REAL + faithful to the paper; statement is an observation, not a directive</t>
  </si>
  <si>
    <t>Reference-only, engine-ISOLATED (never a dose source)</t>
  </si>
  <si>
    <t>2</t>
  </si>
  <si>
    <t>apixaban [PMID 35648414]</t>
  </si>
  <si>
    <t>A review reports that for apixaban, dabigatran, rivaroxaban and edoxaban the efficacy and safety of dose-adjusted regimens in large AF RCTs were similar to those of full-dose DOACs, and that dose adjustment for AF should follow the approved reduction criteria rather than be applied to acute VTE tre…</t>
  </si>
  <si>
    <t>Efficacy and Safety Considerations With Dose-Reduced Direct Oral Anticoagulants: A Review. (JAMA cardiology 2022); source_ref=35648414</t>
  </si>
  <si>
    <t>3</t>
  </si>
  <si>
    <t>dabigatran [PMID 24968547]</t>
  </si>
  <si>
    <t>A review summarising RE-LY reports dabigatran 110 mg twice daily had efficacy comparable to well-controlled warfarin while 150 mg twice daily reduced ischaemic stroke risk by 25% (P=0.03); it notes the 150 mg dose should be considered in younger patients with low bleeding risk and good renal functi…</t>
  </si>
  <si>
    <t>Dabigatran etexilate in atrial fibrillation. (The Journal of the Association of Physicians of India 2013); source_ref=24968547</t>
  </si>
  <si>
    <t>4</t>
  </si>
  <si>
    <t>dabigatran [PMID 24683059]</t>
  </si>
  <si>
    <t>A benefit-risk assessment reports that in patients with low stroke risk but high bleeding risk only dabigatran 110 mg twice daily had positive net clinical benefit versus warfarin, whereas in patients with higher stroke risk both 110 mg and 150 mg twice daily had positive net clinical benefit even …</t>
  </si>
  <si>
    <t>Benefit-risk assessment of dabigatran in the treatment of stroke prevention in non-valvular atrial fibrillation. (Drug safety 2014); source_ref=24683059</t>
  </si>
  <si>
    <t>5</t>
  </si>
  <si>
    <t>dabigatran [PMID 36484957]</t>
  </si>
  <si>
    <t>In a prospective cohort measuring plasma dabigatran, the 150 mg twice-daily group had significantly higher trough and peak levels than the 110 mg group, and within the 150 mg group patients with creatinine clearance &lt;50 mL/min had significantly higher trough (P=0.016) and peak (P=0.005) levels than…</t>
  </si>
  <si>
    <t>Impact of dabigatran dose on drug levels in asian patients with atrial fibrillation or venous thromboembolism: evidence from pharmacological to clinical outcomes. (Journal of thrombosis and thrombolysis 2022); source_ref=36484957</t>
  </si>
  <si>
    <t>6</t>
  </si>
  <si>
    <t>warfarin [PMID 25001883]</t>
  </si>
  <si>
    <t>In a paediatric cohort, CYP2C9*2 and VKORC1-1639 polymorphisms were associated with lower warfarin dose requirement and together accounted for nearly 12% of the variance in stable dose; VKORC1-1639 was associated with more time within target INR and increased likelihood of mild bleeding, and CYP2C9…</t>
  </si>
  <si>
    <t>Pharmacogenetics of warfarin in a paediatric population: time in therapeutic range, initial and stable dosing and adverse effects. (The pharmacogenomics journal 2014); source_ref=25001883</t>
  </si>
  <si>
    <t>7</t>
  </si>
  <si>
    <t>warfarin [PMID 31587090]</t>
  </si>
  <si>
    <t>In a prospective study, a personalised PK/PD dosing algorithm incorporating CYP2C9 and VKORC1 genotype versus conventional weight-based dosing produced, in warfarin-naive children, a higher percentage of INRs in range (70% vs 47.4%) and time in therapeutic range (83.4% vs 62.3%) and shorter time to…</t>
  </si>
  <si>
    <t>Personalised Warfarin Dosing in Children Post-cardiac Surgery. (Pediatric cardiology 2019); source_ref=31587090</t>
  </si>
  <si>
    <t>8</t>
  </si>
  <si>
    <t>warfarin [PMID 40642722]</t>
  </si>
  <si>
    <t>A retrospective chart review found an average time in therapeutic range (TTR) of 46.7%, with only 17.5% of patients achieving TTR &gt;70% and 30.1% &gt;60%; about 29.1% had at least one high-bleeding-risk INR &gt;4.5 and 5.8% required ED visits for INR elevation, with gender, age and insurance status not si…</t>
  </si>
  <si>
    <t>Assessment of Time in Therapeutic Range (TTR) in a Primary Care Warfarin Clinic. (Cureus 2025); source_ref=40642722</t>
  </si>
  <si>
    <t>9</t>
  </si>
  <si>
    <t>rivaroxaban [PMID 38442717]</t>
  </si>
  <si>
    <t>In this real-world observational study the on-label ROCKET AF dose was rivaroxaban 20 mg once daily with a dose-reduction criterion of creatinine clearance &lt;50 mL/min (reduced to 15 mg); both a high-dose (20/15 mg) and low-dose (15/10 mg) regimen showed no significant difference in major bleeding, …</t>
  </si>
  <si>
    <t>Comparison of High- and Low-Dose Rivaroxaban Regimens in Elderly East Asian Patients With Atrial Fibrillation. (Journal of Korean Medical Science 2024); source_ref=38442717</t>
  </si>
  <si>
    <t>10</t>
  </si>
  <si>
    <t>rivaroxaban [PMID 31317562]</t>
  </si>
  <si>
    <t>The study describes label dosing as 20 mg once daily standard with a reduced 15 mg once daily dose for renal impairment, and observed that 52.1% of patients given the reduced dose did not meet labeling criteria for dose reduction, with lower eGFR being the only independent predictor of underdosing.</t>
  </si>
  <si>
    <t>Initial rivaroxaban dosing in patients with atrial fibrillation. (Clinical Cardiology 2019); source_ref=31317562</t>
  </si>
  <si>
    <t>11</t>
  </si>
  <si>
    <t>edoxaban [PMID 25168620]</t>
  </si>
  <si>
    <t>Model-predicted steady-state exposure (AUC) was comparable for patients with severe renal impairment receiving edoxaban 15 mg once daily versus patients with normal/mild renal impairment receiving 30 mg once daily, and the analysis supported a 50% dose-reduction scheme for severe renal impairment.</t>
  </si>
  <si>
    <t>Edoxaban population pharmacokinetics and exposure-response analysis in patients with non-valvular atrial fibrillation. (European Journal of Clinical Pharmacology 2014); source_ref=25168620</t>
  </si>
  <si>
    <t>12</t>
  </si>
  <si>
    <t>edoxaban [PMID 30355093]</t>
  </si>
  <si>
    <t>Both the high-dose (60 mg daily) and low-dose (30 mg daily) edoxaban regimens reduced stroke/systemic embolism, major bleeding and mortality vs warfarin, but the low-dose regimen had lower effectiveness for preventing stroke/systemic embolism than warfarin in patients with creatinine clearance &gt;95 …</t>
  </si>
  <si>
    <t>Impact of Renal Function on Outcomes With Edoxaban in Real-World Patients With Atrial Fibrillation. (Stroke 2018); source_ref=30355093</t>
  </si>
  <si>
    <t>13</t>
  </si>
  <si>
    <t>digoxin [PMID 24574198]</t>
  </si>
  <si>
    <t>This perspective argues, based on an emerging serum-concentration/outcome association, that digoxin should be dosed to achieve low serum concentrations of 0.5-0.9 ng/mL to reduce hospitalizations and improve symptoms while avoiding harm.</t>
  </si>
  <si>
    <t>A perspective on re-evaluating digoxin's role in the current management of patients with chronic systolic heart failure: targeting serum concentration to reduce hospitalization and improve safety profile. (European Journal of Heart Failure 2014); source_ref=24574198</t>
  </si>
  <si>
    <t>14</t>
  </si>
  <si>
    <t>digoxin [PMID 20197013]</t>
  </si>
  <si>
    <t>Two weeks of saquinavir/ritonavir 1000/100 mg twice daily increased digoxin exposure (~1.49-fold AUC, ~1.27-fold Cmax) via P-gp inhibition, and the authors recommend reducing digoxin doses and monitoring digoxin serum concentrations when co-administered, given digoxin's narrow therapeutic window.</t>
  </si>
  <si>
    <t>Effect of saquinavir/ritonavir on P-glycoprotein activity in healthy volunteers using digoxin as a probe. (International Journal of Clinical Pharmacology and Therapeutics 2010); source_ref=20197013</t>
  </si>
  <si>
    <t>15</t>
  </si>
  <si>
    <t>lithium [PMID 41159830]</t>
  </si>
  <si>
    <t>In a large retrospective TDM cohort, lithium was one of the drugs for which pharmacokinetic target attainment was NOT improved by (and was actually lower with) model-informed TDM consultation, and target attainment overall was lower in patients with reduced renal function, higher BMI, or older age …</t>
  </si>
  <si>
    <t>Evaluation of the Real-World Practice of Model-Informed Therapeutic Drug Monitoring and Its Association With Pharmacokinetic Target Attainment Rates: A Large-Scale, Single-Center Retrospective Study. (Therapeutic drug monitoring 2025); source_ref=41159830</t>
  </si>
  <si>
    <t>16</t>
  </si>
  <si>
    <t>methotrexate [PMID 33127957]</t>
  </si>
  <si>
    <t>Over 1 year, RA patients on MTX &gt;=12 mg/week showed a significantly greater decline in eGFR (adjusted beta -2.5 mL/min/1.73m2) than those on 8-12 mg/week, which was not associated with decline; the authors report a dose-dependent renal effect and advise careful renal monitoring at the &gt;=12 mg/week …</t>
  </si>
  <si>
    <t>Risk of higher dose methotrexate for renal impairment in patients with rheumatoid arthritis. (Scientific reports 2020); source_ref=33127957</t>
  </si>
  <si>
    <t>17</t>
  </si>
  <si>
    <t>methotrexate [PMID 39254047]</t>
  </si>
  <si>
    <t>Across 556 HDMTX courses, MTX elimination half-life measured within 16 h of infusion completion was significantly associated with subsequent acute kidney injury (adjusted OR 1.29 per unit) and strongly predicted delayed MTX elimination (ROC AUC 0.86), supporting early-level monitoring to flag patie…</t>
  </si>
  <si>
    <t>Early therapeutic drug monitoring of methotrexate and its association with acute kidney injury: A retrospective cohort study. (Cancer medicine 2024); source_ref=39254047</t>
  </si>
  <si>
    <t>18</t>
  </si>
  <si>
    <t>vancomycin [PMID 32227354]</t>
  </si>
  <si>
    <t>The revised consensus guideline recommends an AUC/MIC (broth microdilution) target of 400-600 (assuming MIC 1 mg/L) for serious MRSA infections in adults and children, and advocates AUC-guided dosing and monitoring over trough-based monitoring as the more accurate approach that improves safety.</t>
  </si>
  <si>
    <t>Executive Summary: Therapeutic Monitoring of Vancomycin for Serious Methicillin-Resistant Staphylococcus aureus Infections: A Revised Consensus Guideline and Review of the American Society of Health-System Pharmacists, the Infectious Diseases Society of America, the Pediatric Infectious Diseases Society, and the Society of Infectious Diseases Pharmacists. (Pharmacotherapy 2020); source_ref=32227354</t>
  </si>
  <si>
    <t>19</t>
  </si>
  <si>
    <t>vancomycin [PMID 33549035]</t>
  </si>
  <si>
    <t>Meta-analysis found MRSA bacteraemia patients with trough &gt;=15 ug/mL had lower treatment failure (OR 0.63) and high AUC/MIC (cutoff ~400) lower failure (OR 0.28), while high AUC (cutoff ~600) increased AKI risk (OR 2.10) and troughs &gt;=20 ug/mL raised AKI versus 15-20 ug/mL (OR 2.39); AUC-guided mon…</t>
  </si>
  <si>
    <t>The monitoring of vancomycin: a systematic review and meta-analyses of area under the concentration-time curve-guided dosing and trough-guided dosing. (BMC infectious diseases 2021); source_ref=33549035</t>
  </si>
  <si>
    <t>20</t>
  </si>
  <si>
    <t>vancomycin [PMID 35869689]</t>
  </si>
  <si>
    <t>Pooling 10 studies (4231 patients), AUC-guided dosing strategies were associated with significantly less vancomycin-induced AKI than trough-guided strategies (OR 0.625; adjusted-OR subgroup 0.475), supporting the 2020 guideline shift toward AUC monitoring, though graded low certainty.</t>
  </si>
  <si>
    <t>Vancomycin area under the curve versus trough only guided dosing and the risk of acute kidney injury: Systematic review and meta-analysis. (Pharmacotherapy 2022); source_ref=35869689</t>
  </si>
  <si>
    <t>21</t>
  </si>
  <si>
    <t>gentamicin [PMID 35754071]</t>
  </si>
  <si>
    <t>An updated review reported that a starting dose of ~7 mg/kg based on total body weight (or adjusted body weight in obesity) gave the highest probability of PK/PD target attainment after the first dose in adults and children &gt;1 month, and that TDM targeting a trough &lt;2 mg/L (preferably &lt;0.5-1 mg/L) …</t>
  </si>
  <si>
    <t>Clinical Pharmacokinetics of Gentamicin in Various Patient Populations and Consequences for Optimal Dosing for Gram-Negative Infections: An Updated Review. (Clinical Pharmacokinetics 2022); source_ref=35754071</t>
  </si>
  <si>
    <t>22</t>
  </si>
  <si>
    <t>gentamicin [PMID 28682925]</t>
  </si>
  <si>
    <t>In a prospective population-PK study of critically ill patients, dosing adjustment based on Cmax after a first ~5 mg/kg dose raised the proportion reaching therapeutic peak (15-20 mg/L) from 40% to 50%; simulations suggested a 6 mg/kg starting dose reduced sub-therapeutic peaks after the first dose…</t>
  </si>
  <si>
    <t>Therapeutic Drug Monitoring of Gentamicin Peak Concentrations in Critically Ill Patients. (Therapeutic Drug Monitoring 2017); source_ref=28682925</t>
  </si>
  <si>
    <t>23</t>
  </si>
  <si>
    <t>colchicine [PMID 40455326]</t>
  </si>
  <si>
    <t>A pharmacokinetic model targeting plasma colchicine 0.5-3 ng/mL predicted that the standard 0.6 mg daily prophylaxis dose stays therapeutic only in mild renal impairment (eGFR 60-89), while moderate and severe impairment saw excursions ~10% and ~36% above the maximum tolerated level; the model indi…</t>
  </si>
  <si>
    <t>Prophylaxis of Gout Flares in Patients with Renal Impairment: Dosing Adjustments with Colchicine Oral Solution Informed by a Pharmacokinetic Model. (Rheumatology and Therapy 2025); source_ref=40455326</t>
  </si>
  <si>
    <t>24</t>
  </si>
  <si>
    <t>colchicine [PMID 26239119]</t>
  </si>
  <si>
    <t>A review reported that oral colchicine at doses of 0.5-2.5 mg/daily was useful in treating pericarditis, myocardial ischaemia and coronary occlusion, with therapeutic doses lowering C-reactive protein below 2 mg/L, and noted that macrolides, statins, comorbidities and genetic factors increase colch…</t>
  </si>
  <si>
    <t>Colchicine as an anti-inflammatory and cardioprotective agent. (Expert Opinion on Drug Metabolism &amp; Toxicology 2015); source_ref=26239119</t>
  </si>
  <si>
    <t>25</t>
  </si>
  <si>
    <t>phenytoin [PMID 29957667]</t>
  </si>
  <si>
    <t>A TDM review of antiepileptic drugs described phenytoin as an established first-generation agent for which extensive concentration-guided data have accumulated, supporting individualised dose adjustment against a reference range, and detailed its pharmacokinetic characteristics and drug-drug intera…</t>
  </si>
  <si>
    <t>Therapeutic Drug Monitoring of Antiepileptic Drugs in Epilepsy: A 2018 Update. (Therapeutic Drug Monitoring 2018); source_ref=29957667</t>
  </si>
  <si>
    <t>26</t>
  </si>
  <si>
    <t>phenytoin [PMID 33305740]</t>
  </si>
  <si>
    <t>In a cross-sectional TDM study, 15/21 (71.4%) phenytoin samples fell within the therapeutic reference range, 23.8% were sub-therapeutic and 4.8% above range despite patients being on therapeutic doses; the authors concluded plasma levels varied irrespective of dose and recommended establishing an i…</t>
  </si>
  <si>
    <t>Therapeutic Drug Monitoring of Antiepileptic Drugs at a Tertiary Care Hospital of Eastern Nepal. (Kathmandu University Medical Journal 2020); source_ref=33305740</t>
  </si>
  <si>
    <t>27</t>
  </si>
  <si>
    <t>acarbose [PMID 17532702]</t>
  </si>
  <si>
    <t>In a 56-week double-blind trial, acarbose was force-titrated from 50 mg up to 300 mg three times daily; the most common adverse events were gastrointestinal (abdominal pain, flatulence, diarrhoea), which occurred more often early in treatment and attenuated over time, supporting gradual dose titrat…</t>
  </si>
  <si>
    <t>Safety and tolerability of acarbose in the treatment of type 1 and type 2 diabetes mellitus. (Clinical Drug Investigation 2005); source_ref=17532702</t>
  </si>
  <si>
    <t>28</t>
  </si>
  <si>
    <t>aciclovir [PMID 30048817]</t>
  </si>
  <si>
    <t>In a retrospective cohort of 269 IV aciclovir treatment episodes, acute kidney injury occurred in 13%; higher total daily aciclovir dose and pre-existing chronic kidney disease were independent risk factors, which the authors state reinforces dose adjustment for ideal body weight and baseline renal…</t>
  </si>
  <si>
    <t>Acute kidney injury (AKI) associated with intravenous aciclovir in adults: Incidence and risk factors in clinical practice. (International Journal of Infectious Diseases 2018); source_ref=30048817</t>
  </si>
  <si>
    <t>29</t>
  </si>
  <si>
    <t>aciclovir [PMID 26101355]</t>
  </si>
  <si>
    <t>In a neonatal case with renal failure on continuous renal replacement therapy, acyclovir was reduced from 60 to 20 mg/kg/day; changing from 20 mg/kg every 24 hours to 20 mg/kg every 8 hours (guided by therapeutic drug monitoring) improved the average viral-load decline, suggesting standard 24-hourl…</t>
  </si>
  <si>
    <t>Therapeutic Drug Monitoring in Neonatal HSV Infection on Continuous Renal Replacement Therapy. (Pediatrics 2015); source_ref=26101355</t>
  </si>
  <si>
    <t>30</t>
  </si>
  <si>
    <t>alendronate [PMID 12861347]</t>
  </si>
  <si>
    <t>Review concluding that once-weekly alendronate dosing appears as efficacious as daily administration for osteoporosis, while offering greater convenience, improved compliance, and a lower risk of upper gastrointestinal symptoms.</t>
  </si>
  <si>
    <t>Once weekly alendronate. (Drugs of Today 2003); source_ref=12861347</t>
  </si>
  <si>
    <t>31</t>
  </si>
  <si>
    <t>alendronate [PMID 15207890]</t>
  </si>
  <si>
    <t>In a randomised open-label crossover study, alendronate 70 mg once weekly and 10 mg once daily were described as of equivalent efficacy; among participants expressing a preference, 84% preferred the once-weekly regimen and 87% found it more convenient.</t>
  </si>
  <si>
    <t>Patients with osteoporosis prefer once weekly to once daily dosing with alendronate. (Maturitas 2004); source_ref=15207890</t>
  </si>
  <si>
    <t>32</t>
  </si>
  <si>
    <t>allopurinol [PMID 28314755]</t>
  </si>
  <si>
    <t>In a 12-month RCT, escalating allopurinol above the creatinine-clearance-based starting dose (monthly increases until serum urate &lt;6 mg/dL) brought 69% of the dose-escalation group to target versus 32% of controls, with mean serum urate falling 1.5 mg/dL vs 0.34 mg/dL, and was well tolerated with n…</t>
  </si>
  <si>
    <t>A randomised controlled trial of the efficacy and safety of allopurinol dose escalation to achieve target serum urate in people with gout. (Annals of the rheumatic diseases 2017); source_ref=28314755</t>
  </si>
  <si>
    <t>33</t>
  </si>
  <si>
    <t>allopurinol [PMID 28456346]</t>
  </si>
  <si>
    <t>This review reports that in CKD initial urate-lowering doses are set lower than in the non-CKD population, with incremental dose escalation guided by regular serum urate monitoring to reach a target of &lt;6 mg/dL (or &lt;5 mg/dL where tophi are present).</t>
  </si>
  <si>
    <t>Management of Gout and Hyperuricemia in CKD. (American journal of kidney diseases 2017); source_ref=28456346</t>
  </si>
  <si>
    <t>34</t>
  </si>
  <si>
    <t>alogliptin [PMID 26617339]</t>
  </si>
  <si>
    <t>A population-PK analysis found alogliptin oral clearance fell (17%, 35%, 80%) and exposure rose (56%, 89%, 339%) across mild, moderate and severe renal impairment; simulations supported the approved doses of 12.5 mg for moderate and 6.25 mg for severe renal impairment, with no weight-based adjustme…</t>
  </si>
  <si>
    <t>Application of pharmacometric approaches to evaluate effect of weight and renal function on pharmacokinetics of alogliptin. (British journal of clinical pharmacology 2016); source_ref=26617339</t>
  </si>
  <si>
    <t>35</t>
  </si>
  <si>
    <t>amantadine [PMID 28604926]</t>
  </si>
  <si>
    <t>In the EASE LID RCT, amantadine extended-release 274 mg once daily at bedtime reduced the Unified Dyskinesia Rating Scale score by a further 7.9 points vs placebo at week 12 and reduced OFF time by ~0.9 hours; common adverse events included visual hallucinations (23.8%), peripheral edema (23.8%) an…</t>
  </si>
  <si>
    <t>ADS-5102 (Amantadine) Extended-Release Capsules for Levodopa-Induced Dyskinesia in Parkinson Disease (EASE LID Study): A Randomized Clinical Trial. (JAMA neurology 2017); source_ref=28604926</t>
  </si>
  <si>
    <t>36</t>
  </si>
  <si>
    <t>amantadine [PMID 25650051]</t>
  </si>
  <si>
    <t>In the dose-ranging EASED study, once-daily bedtime ER amantadine 340 mg significantly reduced dyskinesia (27% reduction in UDysRS vs placebo, P=0.005) with dose-dependent improvement; study-withdrawal rates rose with dose (9%, 15%, 14%, 40% for placebo, 260 mg, 340 mg, 420 mg), all active-group wi…</t>
  </si>
  <si>
    <t>Amantadine extended release for levodopa-induced dyskinesia in Parkinson's disease (EASED Study). (Movement disorders 2015); source_ref=25650051</t>
  </si>
  <si>
    <t>37</t>
  </si>
  <si>
    <t>amiloride [PMID 23152254]</t>
  </si>
  <si>
    <t>In a Cochrane meta-analysis of 6 randomized trials (n=496; baseline BP ~151/102 mmHg), adding LOW-dose amiloride or triamterene as a second drug produced no statistically or clinically significant additional blood-pressure reduction; a dose-response relationship could not be estimated because highe…</t>
  </si>
  <si>
    <t>Blood pressure lowering efficacy of potassium-sparing diuretics (that block the epithelial sodium channel) for primary hypertension. (Cochrane Database of Systematic Reviews 2012); source_ref=23152254</t>
  </si>
  <si>
    <t>38</t>
  </si>
  <si>
    <t>aspirin [PMID 31263057]</t>
  </si>
  <si>
    <t>In the Aspirin/Folate Polyp Prevention Study randomized trial (n=1,121), low-dose (81 mg/day) versus high-dose (325 mg/day) aspirin showed no differential dose-response by body weight or body-composition measures for prevention of metachronous colorectal adenomas, contrasting with prior cancer-tria…</t>
  </si>
  <si>
    <t>Body Composition and Aspirin Dose for Colorectal Adenoma Prevention in a Randomized Clinical Trial. (Cancer Epidemiology, Biomarkers &amp; Prevention 2019); source_ref=31263057</t>
  </si>
  <si>
    <t>39</t>
  </si>
  <si>
    <t>aspirin [PMID 35768902]</t>
  </si>
  <si>
    <t>In healthy non-diabetic adults (n=150 across two cohorts, including a randomized 81 mg vs 325 mg crossover), aspirin produced similar inhibition of platelet aggregation regardless of dose, body weight, or BMI, suggesting mechanisms other than reduced platelet COX-1 inhibition explain lower efficacy…</t>
  </si>
  <si>
    <t>Platelet inhibition by low-dose aspirin is not influenced by body mass or weight. (Platelets 2022); source_ref=35768902</t>
  </si>
  <si>
    <t>40</t>
  </si>
  <si>
    <t>aspirin [PMID 31515060]</t>
  </si>
  <si>
    <t>Among ~200,000 low-dose aspirin users (75-300 mg/day) in UK primary care, the reduction in colorectal-cancer risk and the increase in upper-GI bleeding risk were NOT modified by bodyweight or BMI, contrary to meta-analyses suggesting body-weight-tailored dosing.</t>
  </si>
  <si>
    <t>The effect of low-dose aspirin on colorectal cancer prevention and gastrointestinal bleeding according to bodyweight and body mass index: Analysis of UK primary care data. (International Journal of Cardiology 2019); source_ref=31515060</t>
  </si>
  <si>
    <t>41</t>
  </si>
  <si>
    <t>baclofen [PMID 37719637]</t>
  </si>
  <si>
    <t>Two CKD patients given regular (normal) analgesic doses of baclofen developed generalized myoclonus that resolved on drug omission plus haemodialysis; the authors observed a low threshold for baclofen toxicity in renal impairment because of prolonged half-life, and note no consensus dose-modificati…</t>
  </si>
  <si>
    <t>Baclofen-induced myoclonus in patients with renal impairment: A case series. (SAGE Open Med Case Rep 2023); source_ref=37719637</t>
  </si>
  <si>
    <t>42</t>
  </si>
  <si>
    <t>baclofen [PMID 40538539]</t>
  </si>
  <si>
    <t>Baclofen 30 mg/day combined with pregabalin 300 mg/day was associated with progressive CNS depression (somnolence to coma) that fully resolved 48 h after discontinuation; the authors recommend creatinine-clearance-based dose adjustment and reduced starting doses in renal impairment.</t>
  </si>
  <si>
    <t>Case Report: Synergistic central nervous system depression of baclofen and pregabalin: clinical pharmacist-driven case analysis and case review. (Front Pharmacol 2025); source_ref=40538539</t>
  </si>
  <si>
    <t>43</t>
  </si>
  <si>
    <t>baclofen [PMID 32637443]</t>
  </si>
  <si>
    <t>Two children with AKI started on oral baclofen for dystonia/spasticity developed decreased consciousness and respiratory difficulty warranting discontinuation; the authors call for a reduced initial dose, slow titration, and close monitoring when initiating baclofen in AKI.</t>
  </si>
  <si>
    <t>Baclofen Toxicity in Children With Acute Kidney Injury: Case Reports and Review of the Literature. (Child Neurol Open 2020); source_ref=32637443</t>
  </si>
  <si>
    <t>44</t>
  </si>
  <si>
    <t>bisoprolol [PMID 30076815]</t>
  </si>
  <si>
    <t>In a propensity-matched cohort, high-dose beta-blocker use (bisoprolol defined as &gt;=10 mg/day, among other agents) was associated with lower all-cause mortality (HR 0.86, 95% CI 0.75-0.98) over a median 2.8 years versus no beta-blocker.</t>
  </si>
  <si>
    <t>Role of High-Dose Beta-Blockers in Patients with Heart Failure with Preserved Ejection Fraction and Elevated Heart Rate. (Am J Med 2018); source_ref=30076815</t>
  </si>
  <si>
    <t>45</t>
  </si>
  <si>
    <t>bisoprolol [PMID 26844454]</t>
  </si>
  <si>
    <t>Bisoprolol showed a dose-response survival benefit versus non-users (low dose adjusted HR 0.76, 95% CI 0.59-0.97; high dose adjusted HR 0.40, 95% CI 0.26-0.63), whereas carvedilol and metoprolol showed no survival difference.</t>
  </si>
  <si>
    <t>Carvedilol, Bisoprolol, and Metoprolol Use in Patients With Coexistent Heart Failure and Chronic Obstructive Pulmonary Disease. (Medicine (Baltimore) 2016); source_ref=26844454</t>
  </si>
  <si>
    <t>46</t>
  </si>
  <si>
    <t>bisoprolol [PMID 30956267]</t>
  </si>
  <si>
    <t>The trial defined the bisoprolol maximum maintenance target as 5 mg/day (vs carvedilol 20 mg/day); this target was reached and maintained in only 41.4% of bisoprolol patients over 48 weeks, with a greater heart-rate reduction than carvedilol.</t>
  </si>
  <si>
    <t>Tolerability, Efficacy, and Safety of Bisoprolol vs. Carvedilol in Japanese Patients With Heart Failure and Reduced Ejection Fraction - The CIBIS-J Trial. (Circ J 2019); source_ref=30956267</t>
  </si>
  <si>
    <t>47</t>
  </si>
  <si>
    <t>balsalazide [PMID 27158764]</t>
  </si>
  <si>
    <t>Pooled analysis showed no significant difference between balsalazide 6 g/day and 3 g/day for maintaining remission (relapse 23% vs 33%; RR 0.76), while a separate trial found balsalazide 4 g/day superior to 2 g/day (relapse 37% vs 55%; RR 0.66, 95% CI 0.45-0.97).</t>
  </si>
  <si>
    <t>Oral 5-aminosalicylic acid for maintenance of remission in ulcerative colitis. (Cochrane Database Syst Rev 2016); source_ref=27158764</t>
  </si>
  <si>
    <t>48</t>
  </si>
  <si>
    <t>balsalazide [PMID 16961743]</t>
  </si>
  <si>
    <t>Review notes that azo-bond aminosalicylate formulations such as balsalazide are compromised by secretory diarrhoea at doses delivering more than 2-2.4 g/day of mesalazine, contrasting with pH-dependent mesalazine formulations that lack dose-related side effects up to 4-4.8 g/day.</t>
  </si>
  <si>
    <t>Review article: high-dose aminosalicylates to induce and maintain remissions in ulcerative colitis. (Aliment Pharmacol Ther 2006); source_ref=16961743</t>
  </si>
  <si>
    <t>49</t>
  </si>
  <si>
    <t>brinzolamide [PMID 25064721]</t>
  </si>
  <si>
    <t>In a 6-month phase 3 RCT (n=560), a brinzolamide 1% / brimonidine 0.2% fixed combination dosed twice daily lowered mean diurnal intraocular pressure significantly more than brinzolamide 1% or brimonidine 0.2% monotherapy dosed twice daily (LS mean differences approximately -1.4 and -1.5 mmHg at mon…</t>
  </si>
  <si>
    <t>Twice-daily brinzolamide/brimonidine fixed combination versus brinzolamide or brimonidine in open-angle glaucoma or ocular hypertension. (Ophthalmology 2014); source_ref=25064721</t>
  </si>
  <si>
    <t>50</t>
  </si>
  <si>
    <t>brinzolamide [PMID 32158181]</t>
  </si>
  <si>
    <t>In a phase 3 observer-masked study (per-protocol n=349), a twice-daily brinzolamide 10 mg/mL / brimonidine 2 mg/mL fixed-dose combination was non-inferior to concomitant twice-daily brinzolamide plus brimonidine, with mean diurnal IOP reduction from baseline of about -7.2 mmHg (combination) versus …</t>
  </si>
  <si>
    <t>Comparison of the Intraocular Pressure-Lowering Efficacy and Safety of the Brinzolamide/Brimonidine Fixed-Dose Combination versus Concomitant Use of Brinzolamide and Brimonidine for Management of Open-Angle Glaucoma or Ocular Hypertension. (Clinical Ophthalmology 2020); source_ref=32158181</t>
  </si>
  <si>
    <t>51</t>
  </si>
  <si>
    <t>candesartan [PMID 38581132]</t>
  </si>
  <si>
    <t>In a post hoc analysis of the CHARM programme (n=4278), candesartan was up-titrated every 2 weeks from 4 or 8 mg to 16 mg to 32 mg once daily; the mean achieved dose was about 21.5 mg in men and 20.7 mg in women, and patients achieving lower dose levels had higher cardiovascular death and heart-fai…</t>
  </si>
  <si>
    <t>Achieved dose and treatment discontinuation of candesartan in men and women with chronic heart failure: data from CHARM. (ESC Heart Failure 2024); source_ref=38581132</t>
  </si>
  <si>
    <t>52</t>
  </si>
  <si>
    <t>candesartan [PMID 38157240]</t>
  </si>
  <si>
    <t>A physiologically based pharmacokinetic model of candesartan predicted that doses should be reduced to approximately 92%, 68%, and 64% of the healthy-adult dose in elderly patients with mild, moderate, and severe renal impairment respectively, and to approximately 72%, 71%, and 52% in Child-Pugh A,…</t>
  </si>
  <si>
    <t>Physiologically based pharmacokinetic modeling of candesartan to predict the exposure in hepatic and renal impairment and elderly populations. (Therapeutic Advances in Drug Safety 2023); source_ref=38157240</t>
  </si>
  <si>
    <t>53</t>
  </si>
  <si>
    <t>carbamazepine [PMID 41159830]</t>
  </si>
  <si>
    <t>In a large single-center real-world study (44,474 patients, 24 drugs) of model-informed therapeutic drug monitoring, carbamazepine was an exception in which TDM consultation was associated with LOWER pharmacokinetic target attainment (as also seen with lithium), and target attainment overall was lo…</t>
  </si>
  <si>
    <t>Evaluation of the Real-World Practice of Model-Informed Therapeutic Drug Monitoring and Its Association With Pharmacokinetic Target Attainment Rates: A Large-Scale, Single-Center Retrospective Study. (Therapeutic Drug Monitoring 2025); source_ref=41159830</t>
  </si>
  <si>
    <t>54</t>
  </si>
  <si>
    <t>carbimazole [PMID 31179554]</t>
  </si>
  <si>
    <t>In a UK survey of paediatric endocrinologists, carbimazole was the antithyroid drug of choice for 98% of respondents, with a 'dose-titration' regimen preferred over 'block and replace' (65% vs 29%), and 81% treating for a minimum of 2 years before a trial off the drug.</t>
  </si>
  <si>
    <t>How do paediatricians use and monitor antithyroid drugs in the UK? A clinician survey. (Clinical Endocrinology (Oxf) 2019); source_ref=31179554</t>
  </si>
  <si>
    <t>55</t>
  </si>
  <si>
    <t>chlortalidone [PMID 36516076]</t>
  </si>
  <si>
    <t>In a pragmatic trial randomizing adults &gt;=65y from hydrochlorothiazide 25/50 mg/day to either continue or switch to chlortalidone 12.5 or 25 mg/day, chlortalidone did not lower major cardiovascular events versus hydrochlorothiazide (HR 1.04) but produced more hypokalemia (6.0% vs 4.4%).</t>
  </si>
  <si>
    <t>Chlorthalidone vs. Hydrochlorothiazide for Hypertension-Cardiovascular Events. (New England Journal of Medicine 2022); source_ref=36516076</t>
  </si>
  <si>
    <t>56</t>
  </si>
  <si>
    <t>chlortalidone [PMID 22547443]</t>
  </si>
  <si>
    <t>A meta-analysis of thiazide dose-response found a log-linear relationship with potency ranking bendroflumethiazide &gt; chlortalidone &gt; hydrochlorothiazide; the estimated dose to reduce systolic BP by 10 mmHg was 1.4 mg, 8.6 mg, and 26.4 mg respectively, with no difference in maximal SBP reduction at …</t>
  </si>
  <si>
    <t>Meta-analysis of dose-response relationships for hydrochlorothiazide, chlorthalidone, and bendroflumethiazide on blood pressure, serum potassium, and urate. (Hypertension 2012); source_ref=22547443</t>
  </si>
  <si>
    <t>57</t>
  </si>
  <si>
    <t>ciclosporin [PMID 25865963]</t>
  </si>
  <si>
    <t>This review notes that ciclosporin starting doses are conventionally chosen on a mg/kg bodyweight basis then adjusted by therapeutic drug monitoring; proposed individualized dosing algorithms incorporate covariates such as age, hematocrit, comedication, and genotype to better set the initial dose, …</t>
  </si>
  <si>
    <t>Dosing algorithms for initiation of immunosuppressive drugs in solid organ transplant recipients. (Expert Opinion on Drug Metabolism &amp; Toxicology 2015); source_ref=25865963</t>
  </si>
  <si>
    <t>58</t>
  </si>
  <si>
    <t>ciprofloxacin [PMID 34363656]</t>
  </si>
  <si>
    <t>Population-pharmacokinetic analysis found ciprofloxacin clearance scaled with fat-free mass and renal function (MDRD) and was increased by rifampicin co-administration; the authors observed that when patients are co-treated with rifampicin, the ciprofloxacin dose should be increased by 50% to 60% t…</t>
  </si>
  <si>
    <t>Ciprofloxacin population pharmacokinetics during long-term treatment of osteoarticular infections. (The Journal of antimicrobial chemotherapy 2021); source_ref=34363656</t>
  </si>
  <si>
    <t>59</t>
  </si>
  <si>
    <t>dapagliflozin [PMID 32030417]</t>
  </si>
  <si>
    <t>In the randomized, double-blind, placebo-controlled DAPA-CKD trial, a fixed dapagliflozin dose of 10 mg once daily (no titration) was used in patients with eGFR 25-75 mL/min/1.73m2 and urinary albumin:creatinine ratio 200-5000 mg/g; the trial was designed to test this single fixed dose across multi…</t>
  </si>
  <si>
    <t>Rationale and protocol of the Dapagliflozin And Prevention of Adverse outcomes in Chronic Kidney Disease (DAPA-CKD) randomized controlled trial. (Nephrology, dialysis, transplantation 2020); source_ref=32030417</t>
  </si>
  <si>
    <t>60</t>
  </si>
  <si>
    <t>dapagliflozin [PMID 37119064]</t>
  </si>
  <si>
    <t>In the DAPA-CKD results, dapagliflozin 10 mg once daily reduced the risk of the composite kidney/cardiovascular outcome versus placebo in patients with eGFR 25-75 mL/min/1.73m2, with the benefit and safety profile consistent regardless of baseline use of RAAS inhibitors, calcium channel blockers, b…</t>
  </si>
  <si>
    <t>Effects of Dapagliflozin in Chronic Kidney Disease, With and Without Other Cardiovascular Medications: DAPA-CKD Trial. (Journal of the American Heart Association 2023); source_ref=37119064</t>
  </si>
  <si>
    <t>61</t>
  </si>
  <si>
    <t>desmopressin [PMID 27862898]</t>
  </si>
  <si>
    <t>Pooled analysis of three RCTs of the orally disintegrating tablet found that using the minimum effective, gender-specific dose (25 µg in women, 50 µg in men), together with a baseline sodium ≥135 mmol/L requirement and week-1/month-1 monitoring in at-risk patients, would have removed all cases of c…</t>
  </si>
  <si>
    <t>Low-dose desmopressin combined with serum sodium monitoring can prevent clinically significant hyponatraemia in patients treated for nocturia. (BJU International 2016); source_ref=27862898</t>
  </si>
  <si>
    <t>62</t>
  </si>
  <si>
    <t>desmopressin [PMID 38074185]</t>
  </si>
  <si>
    <t>In an observational study, desmopressin 60 µg at bedtime significantly reduced nocturnal urine volume and night voids; sodium fell significantly in women (not significantly in men), with hyponatraemia in 7.14% and headache in 10.7%, onset after ~1 week, supporting baseline sodium ≥135 mmol/L and mo…</t>
  </si>
  <si>
    <t>Early serum sodium changes in elderly patients with nocturia receiving desmopressin. (Urology Annals 2023); source_ref=38074185</t>
  </si>
  <si>
    <t>63</t>
  </si>
  <si>
    <t>desmopressin [PMID 29048257]</t>
  </si>
  <si>
    <t>Review of DANS clinical trial data reported that 49% of patients on the higher clinical dose achieved ≥50% reduction in nocturnal voids versus 30% with placebo; nadir serum sodium &lt;135 mmol/L occurred in 14% while sodium ≤125 mmol/L was rare (1%).</t>
  </si>
  <si>
    <t>Desmopressin acetate nasal spray for adults with nocturia. (Expert Review of Clinical Pharmacology 2017); source_ref=29048257</t>
  </si>
  <si>
    <t>64</t>
  </si>
  <si>
    <t>desvenlafaxine [PMID 23517291]</t>
  </si>
  <si>
    <t>In this fixed-dose phase 3 RCT neither desvenlafaxine 10 mg/day nor 50 mg/day separated from placebo on HAM-D17 change; however, read together with a companion study in which 50 mg (but not 25 mg) separated from placebo, the authors concluded 50 mg/day is the minimum effective dose for MDD.</t>
  </si>
  <si>
    <t>A double-blind, randomized, placebo-controlled study assessing the efficacy and tolerability of desvenlafaxine 10 and 50 mg/day in adult outpatients with major depressive disorder. (BMC Psychiatry 2013); source_ref=23517291</t>
  </si>
  <si>
    <t>65</t>
  </si>
  <si>
    <t>desvenlafaxine [PMID 20944767]</t>
  </si>
  <si>
    <t>Systematic review reported that an integrated analysis of nine 8-week placebo-controlled trials of desvenlafaxine 50–400 mg/day showed no evidence of greater efficacy at doses above 50 mg/day, while the 50 mg/day dose had discontinuation rates due to adverse events similar to placebo.</t>
  </si>
  <si>
    <t>Efficacy, safety, and tolerability of Desvenlafaxine 50 mg/d for the treatment of major depressive disorder: a systematic review of clinical trials. (Primary Care Companion to the Journal of Clinical Psychiatry 2010); source_ref=20944767</t>
  </si>
  <si>
    <t>66</t>
  </si>
  <si>
    <t>desvenlafaxine [PMID 22859791]</t>
  </si>
  <si>
    <t>ERBP systematic review of pharmacokinetic data found drug clearance markedly reduced in CKD3–5 for desvenlafaxine (among other agents) and concluded that dose reduction in CKD3–5 is necessary for desvenlafaxine.</t>
  </si>
  <si>
    <t>Antidepressants for depression in stage 3-5 chronic kidney disease: a systematic review of pharmacokinetics, efficacy and safety with recommendations by European Renal Best Practice (ERBP). (Nephrology Dialysis Transplantation 2012); source_ref=22859791</t>
  </si>
  <si>
    <t>67</t>
  </si>
  <si>
    <t>diclofenac [PMID 24863260]</t>
  </si>
  <si>
    <t>Meta-regression modelling dose as a continuous variable found positive, approximately linear relationships between oral diclofenac daily dose and the relative risks of major GI and cardiovascular events across the dose range examined, implying lower doses carry proportionally lower risk.</t>
  </si>
  <si>
    <t>Relationship between diclofenac dose and risk of gastrointestinal and cardiovascular events: meta-regression based on two systematic literature reviews. (Clinical Therapeutics 2014); source_ref=24863260</t>
  </si>
  <si>
    <t>68</t>
  </si>
  <si>
    <t>diclofenac [PMID 35585779]</t>
  </si>
  <si>
    <t>Review notes that diclofenac is as COX-2-selective as celecoxib and increases cardiovascular risk dose-dependently, arguing COX inhibitors should be used intermittently at the lowest effective dosage and that dosages should be lower in osteoarthritis than in rheumatoid arthritis.</t>
  </si>
  <si>
    <t>Lessons from 20 years with COX-2 inhibitors: Importance of dose-response considerations and fair play in comparative trials. (Journal of Internal Medicine 2022); source_ref=35585779</t>
  </si>
  <si>
    <t>69</t>
  </si>
  <si>
    <t>diclofenac [PMID 27793353]</t>
  </si>
  <si>
    <t>Using dose-toxicity prediction equations, the model estimated that lower-dose submicron diclofenac versus generic diclofenac could reduce modelled GI events by 18.0%, cardiovascular events by 6.9%, and acute renal failure by 18.8%, illustrating the risk reduction achievable with modest dose lowerin…</t>
  </si>
  <si>
    <t>Cost-effectiveness of Low-dose Submicron Diclofenac Compared With Generic Diclofenac. (Clinical Therapeutics 2016); source_ref=27793353</t>
  </si>
  <si>
    <t>70</t>
  </si>
  <si>
    <t>dorzolamide [PMID 12623832]</t>
  </si>
  <si>
    <t>The 2% dorzolamide/0.5% timolol fixed combination dosed twice daily produced an adjusted mean IOP reduction of about -5.0 mmHg at hour 2 (month 3), comparable (within +/-1.5 mmHg) to concomitant brimonidine 0.2% plus timolol 0.5% both twice daily.</t>
  </si>
  <si>
    <t>Dorzolamide/timolol combination versus concomitant administration of brimonidine and timolol: six-month comparison of efficacy and tolerability. (Ophthalmology 2003); source_ref=12623832</t>
  </si>
  <si>
    <t>71</t>
  </si>
  <si>
    <t>dorzolamide [PMID 15945001]</t>
  </si>
  <si>
    <t>The dorzolamide 2%/timolol 0.5% fixed combination given twice daily lowered mean diurnal IOP to 18.1 mmHg from a 24.8 mmHg baseline, statistically similar to bimatoprost 0.03% dosed once every evening.</t>
  </si>
  <si>
    <t>Safety and efficacy of bimatoprost 0.03% versus timolol maleate 0.5%/dorzolamide 2% fixed combination. (European journal of ophthalmology 2005); source_ref=15945001</t>
  </si>
  <si>
    <t>72</t>
  </si>
  <si>
    <t>duloxetine [PMID 30838456]</t>
  </si>
  <si>
    <t>Duloxetine is described as having an ascending (not flat) dose-response curve and, being a moderate CYP2D6 inhibitor, is reported to warrant modest dose reductions and careful monitoring when co-administered with drugs preferentially metabolized by CYP2D6.</t>
  </si>
  <si>
    <t>Serotonin and Norepinephrine Reuptake Inhibitors. (Handbook of experimental pharmacology 2019); source_ref=30838456</t>
  </si>
  <si>
    <t>73</t>
  </si>
  <si>
    <t>empagliflozin [PMID 25199997]</t>
  </si>
  <si>
    <t>After a single 25 mg dose, empagliflozin exposure (AUC) increased with worsening renal function but remained less than ~1.5-fold higher in severe impairment versus normal, leading the authors to conclude no dose adjustment is necessary in renal impairment (though urinary glucose excretion, and thus…</t>
  </si>
  <si>
    <t>Effect of renal impairment on the pharmacokinetics, pharmacodynamics, and safety of empagliflozin, a sodium glucose cotransporter 2 inhibitor, in Japanese patients with type 2 diabetes mellitus. (Clinical therapeutics 2014); source_ref=25199997</t>
  </si>
  <si>
    <t>74</t>
  </si>
  <si>
    <t>empagliflozin [PMID 27312794]</t>
  </si>
  <si>
    <t>Variability in empagliflozin exposure was driven mainly by eGFR (less than 2-fold increase even in severe renal impairment), and sex, BMI, race and age did not clinically alter PK or efficacy; the analysis concluded no dose adjustment is required in the approved patient population.</t>
  </si>
  <si>
    <t>Population Pharmacokinetics and Exposure-Response (Efficacy and Safety/Tolerability) of Empagliflozin in Patients with Type 2 Diabetes. (Diabetes therapy : research, treatment and education of diabetes and related disorders 2016); source_ref=27312794</t>
  </si>
  <si>
    <t>75</t>
  </si>
  <si>
    <t>empagliflozin [PMID 29667921]</t>
  </si>
  <si>
    <t>The review reports that SGLT2 inhibitors, including empagliflozin, were (at time of writing) contraindicated for glucose-lowering use when eGFR was below 45 mL/min/1.73m2 because glycemic efficacy attenuates as renal function falls.</t>
  </si>
  <si>
    <t>Glycemic control of type 2 diabetes mellitus across stages of renal impairment: information for primary care providers. (Postgraduate medicine 2018); source_ref=29667921</t>
  </si>
  <si>
    <t>76</t>
  </si>
  <si>
    <t>emtricitabine [PMID 24995851]</t>
  </si>
  <si>
    <t>In a population PK study, emtricitabine apparent clearance rose ~18% during pregnancy (reflecting ~50% higher estimated GFR) and daily AUC was modestly lower across all trimesters, but the authors concluded the change was not large enough to warrant dose adjustment in pregnancy.</t>
  </si>
  <si>
    <t>Modified renal function in pregnancy: impact on emtricitabine pharmacokinetics. (British journal of clinical pharmacology 2014); source_ref=24995851</t>
  </si>
  <si>
    <t>77</t>
  </si>
  <si>
    <t>emtricitabine [PMID 31602556]</t>
  </si>
  <si>
    <t>A PBPK simulation predicted emtricitabine exposure (AUC) increases about 1.40-fold with advancing age, but most virtual elderly patients had exposures not reaching thresholds that define renal-impairment dose reductions, so the study inferred standard emtricitabine dosing may not require adjustment…</t>
  </si>
  <si>
    <t>Are Standard Doses of Renally-Excreted Antiretrovirals in Older Patients Appropriate: A PBPK Study Comparing Exposures in the Elderly Population With Those in Renal Impairment. (Drugs in R&amp;D 2019); source_ref=31602556</t>
  </si>
  <si>
    <t>78</t>
  </si>
  <si>
    <t>emtricitabine [PMID 26627107]</t>
  </si>
  <si>
    <t>In a single-arm phase 3 switch study, a once-daily fixed-dose tablet containing emtricitabine 200 mg (with elvitegravir/cobicistat/tenofovir alafenamide) was given without emtricitabine dose adjustment down to CrCl 30 mL/min, with no significant change in estimated GFR and viral suppression maintai…</t>
  </si>
  <si>
    <t>Switching to Tenofovir Alafenamide, Coformulated With Elvitegravir, Cobicistat, and Emtricitabine, in HIV-Infected Patients With Renal Impairment: 48-Week Results From a Single-Arm, Multicenter, Open-Label Phase 3 Study. (Journal of acquired immune deficiency syndromes (1999) 2016); source_ref=26627107</t>
  </si>
  <si>
    <t>79</t>
  </si>
  <si>
    <t>enalapril [PMID 25176015]</t>
  </si>
  <si>
    <t>In the PARADIGM-HF randomized trial, enalapril 10 mg twice daily was the active comparator; it was inferior to sacubitril/valsartan for cardiovascular death or HF hospitalization, and the enalapril arm had higher rates of renal impairment, hyperkalemia and cough but less hypotension and angioedema.</t>
  </si>
  <si>
    <t>Angiotensin-neprilysin inhibition versus enalapril in heart failure. (The New England journal of medicine 2014); source_ref=25176015</t>
  </si>
  <si>
    <t>80</t>
  </si>
  <si>
    <t>enalapril [PMID 40461938]</t>
  </si>
  <si>
    <t>A population PK analysis (LENA) of enalapril orodispersible minitablets found weight-adjusted enalaprilat clearance rose with age and fell with higher serum creatinine, and simulations indicated that age and heart-failure severity (Ross score), in addition to weight and renal function, should be co…</t>
  </si>
  <si>
    <t>Population Pharmacokinetic Analysis of Enalapril and Enalaprilat in Newly Treated Children with Heart Failure: Implications for Safe Dosing of Enalapril (LENA Studies). (Clinical pharmacokinetics 2025); source_ref=40461938</t>
  </si>
  <si>
    <t>81</t>
  </si>
  <si>
    <t>enoxaparin [PMID 23128835]</t>
  </si>
  <si>
    <t>In a retrospective comparison of patients receiving enoxaparin 1 mg/kg every 12 hours or 1.5 mg/kg once daily, major bleeding was markedly higher with moderate renal impairment (22.0% vs 5.7%; unadjusted OR 4.7), despite no dose adjustment being recommended, prompting the authors to call for study …</t>
  </si>
  <si>
    <t>Enoxaparin outcomes in patients with moderate renal impairment. (Archives of internal medicine 2012); source_ref=23128835</t>
  </si>
  <si>
    <t>82</t>
  </si>
  <si>
    <t>enoxaparin [PMID 36189469]</t>
  </si>
  <si>
    <t>This critical appraisal reported that enoxaparin should be reduced to roughly 50-65% of the original dose for CrCl &lt;30 mL/min (and to 75-85% for CrCl 30-60 mL/min); it found no supporting data for added value of peak anti-Xa monitoring after a PK-based dose reduction, and where monitoring is used i…</t>
  </si>
  <si>
    <t>Critical appraisal of evidence for anti-Xa monitoring and dosing of low-molecular-weight heparin in renal insufficiency. (Expert review of clinical pharmacology 2022); source_ref=36189469</t>
  </si>
  <si>
    <t>83</t>
  </si>
  <si>
    <t>eplerenone [DOI 10.1002/ejhf.1400]</t>
  </si>
  <si>
    <t>In EMPHASIS-HF, eplerenone was dosed by baseline renal function: 50 mg/day if eGFR &gt;=50 mL/min/1.73m2 and &lt;=25 mg/day if eGFR 30-49; 25 mg/day in the impaired-renal-function stratum was as effective as 50 mg/day in the preserved stratum (HR 0.62 vs 0.58 for HF hospitalisation/CV death), though lowe…</t>
  </si>
  <si>
    <t>Renal function stratified dose comparisons of eplerenone versus placebo in the EMPHASIS-HF trial. (European journal of heart failure 2019); source_ref=10.1002/ejhf.1400</t>
  </si>
  <si>
    <t>84</t>
  </si>
  <si>
    <t>eprosartan [DOI 10.1080/08037050152669747]</t>
  </si>
  <si>
    <t>Eprosartan titrated 600-800 mg once daily lowered sitting systolic BP by about 18 mmHg over 12 weeks in patients &gt;65 years, comparable to enalapril 5-20 mg once daily, with fewer adverse events (notably less dry cough).</t>
  </si>
  <si>
    <t>Eprosartan versus enalapril in elderly patients with hypertension: a double-blind, randomized trial. (Blood pressure 2001); source_ref=10.1080/08037050152669747</t>
  </si>
  <si>
    <t>85</t>
  </si>
  <si>
    <t>eprosartan [DOI 10.1097/00004872-199917010-00019]</t>
  </si>
  <si>
    <t>Eprosartan given as a single daily dose (400-800 mg once daily) produced antihypertensive efficacy and tolerability not significantly different from the same total dose split twice daily, supporting once-daily administration.</t>
  </si>
  <si>
    <t>The efficacy and tolerance of one or two daily doses of eprosartan in essential hypertension. The Eprosartan Multinational Study Group. (Journal of hypertension 1999); source_ref=10.1097/00004872-199917010-00019</t>
  </si>
  <si>
    <t>86</t>
  </si>
  <si>
    <t>eprosartan [DOI 10.1038/sj.jhh.1001704]</t>
  </si>
  <si>
    <t>Once-daily eprosartan titrated 600-1200 mg/day reduced sitting systolic BP by 16.1 mmHg vs 8.4 mmHg with placebo over 13 weeks; adding hydrochlorothiazide 12.5 mg in non-responders further lowered systolic BP, and doses up to 1200 mg/day were well tolerated.</t>
  </si>
  <si>
    <t>Once-daily eprosartan mesylate in the treatment of elderly patients with isolated systolic hypertension: data from a 13-week double-blind, placebo-controlled, parallel, multicenter study. (Journal of human hypertension 2004); source_ref=10.1038/sj.jhh.1001704</t>
  </si>
  <si>
    <t>87</t>
  </si>
  <si>
    <t>erythromycin [DOI 10.6002/ect.2020.0463]</t>
  </si>
  <si>
    <t>Oral erythromycin at an initial prokinetic dose of 750 mg/day divided into 3 doses resolved delayed gastric emptying symptoms in two visceral-transplant patients; via CYP3A4 inhibition it also markedly reduced required tacrolimus dosing (e.g. from 36 to 9 mg/day), requiring immunosuppressant monito…</t>
  </si>
  <si>
    <t>Safe Use of Erythromycin For Refractory Gastroparesis After Small Bowel Transplantation. (Experimental and clinical transplantation 2021); source_ref=10.6002/ect.2020.0463</t>
  </si>
  <si>
    <t>88</t>
  </si>
  <si>
    <t>erythromycin [DOI 10.1007/s10620-009-1038-3]</t>
  </si>
  <si>
    <t>Intravenous erythromycin 250 mg stimulated antral contractile activity comparable to azithromycin at similar dose; at the 500 mg comparison azithromycin produced greater and longer antral stimulation than erythromycin.</t>
  </si>
  <si>
    <t>Comparison of the effect of azithromycin versus erythromycin on antroduodenal pressure profiles of patients with chronic functional gastrointestinal pain and gastroparesis. (Digestive diseases and sciences 2010); source_ref=10.1007/s10620-009-1038-3</t>
  </si>
  <si>
    <t>89</t>
  </si>
  <si>
    <t>escitalopram [PMID 31178367]</t>
  </si>
  <si>
    <t>In a dose-response meta-analysis, the SSRI dose-efficacy curve (escitalopram among five SSRIs, doses converted to fluoxetine equivalents) rose gradually up to about 20-40 mg fluoxetine equivalents then flattened or slightly declined at higher licensed doses up to 80 mg, while dropouts for adverse e…</t>
  </si>
  <si>
    <t>Optimal dose of selective serotonin reuptake inhibitors, venlafaxine, and mirtazapine in major depression: a systematic review and dose-response meta-analysis. (The Lancet Psychiatry 2019); source_ref=31178367</t>
  </si>
  <si>
    <t>90</t>
  </si>
  <si>
    <t>escitalopram [PMID 36936596]</t>
  </si>
  <si>
    <t>A meta-narrative synthesis of reviews (taking 10 mg as the standard daily escitalopram dose) reported that most reviews found a flat dose-efficacy relationship for individual SSRIs and the SSRI class, with standard doses optimal for efficacy, whereas higher-than-standard daily doses were associated…</t>
  </si>
  <si>
    <t>Dose-response effects of selective serotonin reuptake inhibitor monotherapy for the treatment of depression: systematic review of reviews and meta-narrative synthesis. (BMJ Medicine 2022); source_ref=36936596</t>
  </si>
  <si>
    <t>91</t>
  </si>
  <si>
    <t>escitalopram [PMID 30877856]</t>
  </si>
  <si>
    <t>In this retrospective geriatric chart review, no association was found between citalopram or escitalopram dosage and QTc interval in unadjusted or adjusted analyses; the authors reported the data did not support the FDA/Health Canada recommended maximum doses in the elderly, though older age itself…</t>
  </si>
  <si>
    <t>Association between citalopram, escitalopram and QTc prolongation in a real-world geriatric setting. (Journal of Affective Disorders 2019); source_ref=30877856</t>
  </si>
  <si>
    <t>92</t>
  </si>
  <si>
    <t>esomeprazole [PMID 27875488]</t>
  </si>
  <si>
    <t>Population PK modeling and simulation identified pediatric esomeprazole regimens producing steady-state AUC comparable to that observed after 20 mg in adults, and for IV dosing extending the infusion duration to 10-30 minutes in children matched adult Cmax; intragastric pH exposure-response was sim…</t>
  </si>
  <si>
    <t>Esomeprazole FDA Approval in Children With GERD: Exposure-Matching and Exposure-Response. (Journal of Pediatric Gastroenterology and Nutrition 2017); source_ref=27875488</t>
  </si>
  <si>
    <t>93</t>
  </si>
  <si>
    <t>esomeprazole [PMID 12946553]</t>
  </si>
  <si>
    <t>In this comparative review, more patients with erosive esophagitis achieved healing at 4 and 8 weeks with esomeprazole 40 mg once daily than with lansoprazole 30 mg once daily, and at 6 months remission was maintained in more patients on esomeprazole 20 mg once daily than on lansoprazole 15 mg once…</t>
  </si>
  <si>
    <t>A review of the clinical and economic impact of using esomeprazole or lansoprazole for the treatment of erosive esophagitis. (Clinical Therapeutics 2003); source_ref=12946553</t>
  </si>
  <si>
    <t>94</t>
  </si>
  <si>
    <t>estradiol [PMID 30508190]</t>
  </si>
  <si>
    <t>This systematic review reported that low-dose regimens appeared effective (observed effect of 0.3 mg/day oral conjugated equine estrogen similar to the standard 0.625 mg/day) and that transdermal estrogen delivering &lt;50 micrograms/day combined with micronized progesterone appeared the safer choice …</t>
  </si>
  <si>
    <t>The route of administration, timing, duration and dose of postmenopausal hormone therapy and cardiovascular outcomes in women: a systematic review. (Human Reproduction Update 2019); source_ref=30508190</t>
  </si>
  <si>
    <t>95</t>
  </si>
  <si>
    <t>estradiol [PMID 33506261]</t>
  </si>
  <si>
    <t>This mini-review reported that transdermal estradiol has less effect on coagulation, inflammation, and lipids than oral estrogens (with observational data suggesting lower venous thromboembolism and stroke risk), and that clinical effects of hormone therapy were not consistently dose-dependent acro…</t>
  </si>
  <si>
    <t>Menopausal Hormone Therapy and Cardiovascular Disease: The Role of Formulation, Dose, and Route of Delivery. (The Journal of Clinical Endocrinology and Metabolism 2021); source_ref=33506261</t>
  </si>
  <si>
    <t>96</t>
  </si>
  <si>
    <t>estradiol [PMID 33005118]</t>
  </si>
  <si>
    <t>This narrative review observed that estradiol doses used in feminizing hormone therapy can be substantially higher than menopausal HT doses, that escalating estradiol dose is associated with increased thrombotic risk, and that transdermal estradiol formulations are not associated with increased ris…</t>
  </si>
  <si>
    <t>Estradiol Therapy in the Perioperative Period: Implications for Transgender People Undergoing Feminizing Hormone Therapy. (The Yale Journal of Biology and Medicine 2020); source_ref=33005118</t>
  </si>
  <si>
    <t>97</t>
  </si>
  <si>
    <t>ethosuximide [PMID 37316457]</t>
  </si>
  <si>
    <t>Population PK/exposure-response modelling found ethosuximide AUC exposures of 1,027 and 1,489 ug·h/mL corresponded to 50% and 75% probability of seizure freedom, with Monte Carlo simulation indicating daily doses of ~40 and ~55 mg/kg respectively to reach those targets; the authors noted a need for…</t>
  </si>
  <si>
    <t>Model-Informed Precision Dosing Guidance of Ethosuximide Developed from a Randomized Controlled Clinical Trial of Childhood Absence Epilepsy. (Clinical Pharmacology and Therapeutics 2023); source_ref=37316457</t>
  </si>
  <si>
    <t>98</t>
  </si>
  <si>
    <t>ethosuximide [PMID 36537292]</t>
  </si>
  <si>
    <t>At a single 10 mg/kg dose, the optimized ethosuximide granule (formulation B) was bioequivalent to the reference syrup (dose-normalized Cmax 87.6% and AUC 92.5% relative to syrup, 90% CIs within bioequivalence bounds), supporting a body-weight-adjustable alternative to the syrup.</t>
  </si>
  <si>
    <t>An innovative ethosuximide granule formulation designed for pediatric use: Comparative pharmacokinetics, safety, tolerability, and palatability profile versus reference syrup. (Pharmacology Research &amp; Perspectives 2023); source_ref=36537292</t>
  </si>
  <si>
    <t>99</t>
  </si>
  <si>
    <t>everolimus [PMID 27798513]</t>
  </si>
  <si>
    <t>Targeting an everolimus trough of 3-8 ng/mL, a mean daily dose of ~3.5 mg/day (combined with steady-state low tacrolimus) produced stable exposure over the first 6 months without significant dose changes; everolimus trough correlated strongly with AUC0-12h (r=0.849).</t>
  </si>
  <si>
    <t>Longitudinal Pharmacokinetics of Everolimus When Combined With Low-level of Tacrolimus in Elderly Renal Transplant Recipients. (Transplantation 2017); source_ref=27798513</t>
  </si>
  <si>
    <t>100</t>
  </si>
  <si>
    <t>everolimus [PMID 26926669]</t>
  </si>
  <si>
    <t>Adding oral voriconazole increased the everolimus concentration/dose ratio ~8.7-fold; achieving target levels required reducing the everolimus dose by roughly 87%, and the authors observed that a preemptive reduction to ~75% of the everolimus dose at azole initiation, with close TDM, was needed for…</t>
  </si>
  <si>
    <t>Management of Everolimus and Voriconazole Interaction in Lung Transplant Patients. (Therapeutic Drug Monitoring 2016); source_ref=26926669</t>
  </si>
  <si>
    <t>101</t>
  </si>
  <si>
    <t>everolimus [PMID 29271815]</t>
  </si>
  <si>
    <t>Using a day-3 trough target of 3-8 ng/mL, dose-corrected everolimus concentrations were higher with cyclosporine than with tacrolimus or no CNI, and fewer patients fell below 3 ng/mL when everolimus was combined with cyclosporine; the authors concluded the initial everolimus dose should be chosen a…</t>
  </si>
  <si>
    <t>Adequacy of Initial Everolimus Dose, With and Without Calcineurin Inhibitors, in Kidney Transplant Recipients. (Therapeutic Drug Monitoring 2018); source_ref=29271815</t>
  </si>
  <si>
    <t>102</t>
  </si>
  <si>
    <t>famotidine [PMID 24263162]</t>
  </si>
  <si>
    <t>In a chart audit of drugs requiring renal dose adjustment, famotidine was among the medications most commonly prescribed at inappropriately high doses relative to estimated creatinine clearance, indicating it is frequently not renally dose-reduced in patients with impaired kidney function.</t>
  </si>
  <si>
    <t>Renal Drug Dosage Adjustment According to Estimated Creatinine Clearance in Hospitalized Patients With Heart Failure. (American Journal of Therapeutics 2016); source_ref=24263162</t>
  </si>
  <si>
    <t>103</t>
  </si>
  <si>
    <t>famotidine [PMID 39991940]</t>
  </si>
  <si>
    <t>Among hospice-eligible CKD patients, 27% had at least one renally-cleared medication dosed too high for renal function, and famotidine was listed among the medications commonly prescribed and not renal-dose-adjusted, with higher serum creatinine and greater numbers of renally-cleared drugs increasi…</t>
  </si>
  <si>
    <t>Medications Not Dosed Within Recommended Range for Renal Function in Patients With Chronic Kidney Disease Identified upon Hospice Admission; a Retrospective Chart Review. (American Journal of Hospice &amp; Palliative Care 2025); source_ref=39991940</t>
  </si>
  <si>
    <t>104</t>
  </si>
  <si>
    <t>febuxostat [PMID 40609855]</t>
  </si>
  <si>
    <t>Review reports that traditional 'kidney-dosed' limits on urate-lowering therapies including febuxostat may lead to undertreatment of gout, and describes a 'start-low-go-low' dose-titration approach to optimize urate lowering while managing safety in CKD.</t>
  </si>
  <si>
    <t>Gout Management in Patients With CKD: A Review. (Am J Kidney Dis 2025); source_ref=40609855</t>
  </si>
  <si>
    <t>105</t>
  </si>
  <si>
    <t>febuxostat [PMID 21849262]</t>
  </si>
  <si>
    <t>Review notes that, unlike allopurinol (which requires dose reduction in renal impairment and often fails to reach target urate), febuxostat did not require dose adjustment in mild-to-moderate renal disease and may be preferred in older patients with this condition.</t>
  </si>
  <si>
    <t>Management of gout in the older adult. (Am J Geriatr Pharmacother 2011); source_ref=21849262</t>
  </si>
  <si>
    <t>106</t>
  </si>
  <si>
    <t>fenofibrate [PMID 24844853]</t>
  </si>
  <si>
    <t>Single 145 mg oral dose of two fenofibrate tablet formulations produced fenofibric-acid Cmax and AUC with 90% CIs within the 80-125% bioequivalence range, i.e. comparable systemic exposure at the standard 145 mg dose under fasting conditions.</t>
  </si>
  <si>
    <t>Comparison of pharmacokinetics of two fenofibrate tablet formulations in healthy human subjects. (Clin Ther 2014); source_ref=24844853</t>
  </si>
  <si>
    <t>107</t>
  </si>
  <si>
    <t>fenofibrate [PMID 40304748]</t>
  </si>
  <si>
    <t>Single 145 mg oral dose of a test versus reference (TRICOR) fenofibrate formulation gave geometric-mean-ratio 90% CIs for Cmax (0.86) and AUC (0.99) within 0.80-1.25 bioequivalence limits, confirming comparable exposure at the 145 mg dose.</t>
  </si>
  <si>
    <t>Comparative pharmacokinetics and bioequivalence of 145-mg fenofibrate formulations in healthy Korean participants. (Naunyn Schmiedebergs Arch Pharmacol 2025); source_ref=40304748</t>
  </si>
  <si>
    <t>108</t>
  </si>
  <si>
    <t>flecainide [PMID 36546365]</t>
  </si>
  <si>
    <t>Retrospective study reported that children given 6 mg/kg/day had higher mean plasma flecainide concentrations (and more supratherapeutic levels) than those on 2 mg/kg/day; infants &lt;1 year on three-times-daily dosing had the highest levels, prompting a suggested shift to twice-daily dosing in that a…</t>
  </si>
  <si>
    <t>Flecainide administration in children: dosage, drug levels, and clinical effect. (Cardiol Young 2022); source_ref=36546365</t>
  </si>
  <si>
    <t>109</t>
  </si>
  <si>
    <t>flecainide [PMID 40132102]</t>
  </si>
  <si>
    <t>In a phase 3 RCT, a single 120 mg orally inhaled dose of flecainide acetate (FlecIH-103) converted 30.8% of recent-onset paroxysmal AF versus 0% for placebo; the mean flecainide plasma level was 198 ng/mL, ~50% lower than prior studies, and the trial was stopped early for lower-than-expected conver…</t>
  </si>
  <si>
    <t>Flecainide acetate inhalation solution for cardioversion of recent-onset, symptomatic atrial fibrillation: results of the phase 3 RESTORE-1 trial. (Europace 2025); source_ref=40132102</t>
  </si>
  <si>
    <t>110</t>
  </si>
  <si>
    <t>flecainide [PMID 38613545]</t>
  </si>
  <si>
    <t>In an open-label phase 2 study, a single self-administered inhaled dose of flecainide (FlecIH) over 8 minutes converted 42.6% of recent-onset symptomatic AF to sinus rhythm, with a median time to conversion of 14.6 minutes.</t>
  </si>
  <si>
    <t>Orally Inhaled Flecainide for Conversion of Atrial Fibrillation to Sinus Rhythm: INSTANT Phase 2 Trial. (JACC Clin Electrophysiol 2024); source_ref=38613545</t>
  </si>
  <si>
    <t>111</t>
  </si>
  <si>
    <t>formoterol [PMID 31883519]</t>
  </si>
  <si>
    <t>In a systematic review of RCTs, budesonide/formoterol used as reliever monotherapy showed a 4.6-fold (95% CI 2.9-7.3) greater potency than fixed-dose budesonide/formoterol maintenance plus SABA reliever in reducing severe exacerbation risk; adding budesonide/formoterol reliever to maintenance gave …</t>
  </si>
  <si>
    <t>Dose-response relationship of ICS/fast-onset LABA as reliever therapy in asthma. (BMC Pulmonary Medicine 2019); source_ref=31883519</t>
  </si>
  <si>
    <t>112</t>
  </si>
  <si>
    <t>furosemide [PMID 40929381]</t>
  </si>
  <si>
    <t>In a network meta-analysis of 25 RCTs (7149 patients), furosemide continuous infusion (OR 1.55, 95% CI 1.39-1.63) and furosemide bolus combined with thiazide, tolvaptan, or SGLT2i achieved greater 24-h weight loss than furosemide bolus alone; sequential nephron blockade (bolus plus thiazide/acetazo…</t>
  </si>
  <si>
    <t>Diuretic strategies in acute heart failure: a systematic review and network meta-analysis of randomized clinical trials. (European Heart Journal. Cardiovascular Pharmacotherapy 2026); source_ref=40929381</t>
  </si>
  <si>
    <t>113</t>
  </si>
  <si>
    <t>furosemide [PMID 26299229]</t>
  </si>
  <si>
    <t>In an ASCEND-HF analysis of 4379 patients, mean diuretic response was -0.42 kg weight loss per 40 mg furosemide equivalent; poor responders had lower blood pressure, diabetes, chronic loop-diuretic use, poorer renal function and lower urine output, and good response was independently associated wit…</t>
  </si>
  <si>
    <t>Diuretic response in acute heart failure-an analysis from ASCEND-HF. (American Heart Journal 2015); source_ref=26299229</t>
  </si>
  <si>
    <t>114</t>
  </si>
  <si>
    <t>gabapentin [PMID 22206794]</t>
  </si>
  <si>
    <t>In a single-dose PK study across renal-function strata, gabapentin oral clearance after gabapentin enacarbil was proportional to creatinine clearance, with roughly a 1.6-fold decrease in CL/F for every 2-fold decrease in CrCL, leading the authors to conclude dosage adjustment is necessary in patien…</t>
  </si>
  <si>
    <t>Clinical pharmacokinetics of gabapentin after administration of gabapentin enacarbil extended-release tablets in patients with varying degrees of renal function using data from an open-label, single-dose pharmacokinetic study. (Clinical Therapeutics 2011); source_ref=22206794</t>
  </si>
  <si>
    <t>115</t>
  </si>
  <si>
    <t>gabapentin [PMID 28070716]</t>
  </si>
  <si>
    <t>In a prospective PK study of elderly nursing-home patients, gabapentin clearance (2.93 L/h) was significantly associated with estimated GFR and, after adjusting for GFR, was not affected by age, sex, body weight or comorbidity; bioavailability was dose-dependent with a saturable (nonlinear) absorpt…</t>
  </si>
  <si>
    <t>Pharmacokinetics and Saturable Absorption of Gabapentin in Nursing Home Elderly Patients. (The AAPS Journal 2017); source_ref=28070716</t>
  </si>
  <si>
    <t>116</t>
  </si>
  <si>
    <t>gemfibrozil [PMID 12814127]</t>
  </si>
  <si>
    <t>In statin+fibrate combination regimens, both drug classes were recommended to be titrated progressively from low doses, with fibrate given in the morning and statin at night to minimise peak-dose interaction; gemfibrozil was the fibrate most implicated in the early rhabdomyolysis reports that restr…</t>
  </si>
  <si>
    <t>Statin-fibrate combination: therapy for hyperlipidemia: a review. (Current medical research and opinion 2003); source_ref=12814127</t>
  </si>
  <si>
    <t>117</t>
  </si>
  <si>
    <t>glibenclamide [PMID 27413017]</t>
  </si>
  <si>
    <t>In a cohort of 120,803 new antidiabetic users, current glibenclamide use carried the highest hypoglycaemia risk among sulphonylureas (adjusted HR 7.48 vs metformin); risk rose with higher sulphonylurea dose (HR 3.12) and with eGFR &lt;30 mL/min/1.73m2 (HR 4.96), supporting caution/dose limitation in r…</t>
  </si>
  <si>
    <t>Risk of hypoglycaemia in users of sulphonylureas compared with metformin in relation to renal function and sulphonylurea metabolite group: population based cohort study. (BMJ (Clinical research ed.) 2016); source_ref=27413017</t>
  </si>
  <si>
    <t>118</t>
  </si>
  <si>
    <t>glibenclamide [PMID 20553106]</t>
  </si>
  <si>
    <t>Among 139 patients with severe sulfonylurea hypoglycaemia (40 on glibenclamide), no preparation showed a constant dose-effect relationship and events occurred across a wide dose range; patients were elderly (mean 77.5 years) with renal insufficiency in 73% (mean creatinine clearance 46 mL/min), ind…</t>
  </si>
  <si>
    <t>Severe sulfonylurea-induced hypoglycemia: a problem of uncritical prescription and deficiencies of diabetes care in geriatric patients. (Expert opinion on drug safety 2010); source_ref=20553106</t>
  </si>
  <si>
    <t>119</t>
  </si>
  <si>
    <t>glibenclamide [DOI 10.2147/VHRM.S230639]</t>
  </si>
  <si>
    <t>Plasma levels of glibenclamide (and gliclazide) were highest in patients carrying the CYP2C9*3 allele, and 75.9% of patients with variant genotypes experienced hypoglycaemia, suggesting CYP2C9 poor-metaboliser status raises exposure at a given dose.</t>
  </si>
  <si>
    <t>The Effect of CYP2C9 Genotype Variants in Type 2 Diabetes on the Pharmacological Effectiveness of Sulfonylureas, Diabetic Retinopathy, and Nephropathy. (Vascular health and risk management 2020); source_ref=10.2147/VHRM.S230639</t>
  </si>
  <si>
    <t>120</t>
  </si>
  <si>
    <t>gliclazide [DOI 10.1111/j.1463-1326.2005.00501.x]</t>
  </si>
  <si>
    <t>Gliclazide MR was uptitrated at 1-month intervals from 30 mg to 120 mg once daily (vs standard gliclazide 80 mg to 320 mg twice daily); both achieved comparable HbA1c reduction (-1.6%) with only mild hypoglycaemia in 3 patients and no major events, indicating the lower-milligram once-daily MR dose …</t>
  </si>
  <si>
    <t>Double-blind, randomized, multicentre study of the efficacy and safety of gliclazide-modified release in the treatment of Chinese type 2 diabetic patients. (Diabetes, obesity &amp; metabolism 2006); source_ref=10.1111/j.1463-1326.2005.00501.x</t>
  </si>
  <si>
    <t>121</t>
  </si>
  <si>
    <t>gliclazide [DOI 10.1186/s13098-018-0331-8]</t>
  </si>
  <si>
    <t>Gliclazide MR 60 mg was prescribed at 30-120 mg once daily with dose uptitration over 6 months in 7,170 participants, producing a mean HbA1c fall of -1.78% across baseline HbA1c/BMI strata, with severe hypoglycaemia requiring assistance rare (0.06%).</t>
  </si>
  <si>
    <t>Effectiveness of gliclazide MR 60 mg in the management of type 2 diabetes: analyses from the EASYDia trial. (Diabetology &amp; metabolic syndrome 2018); source_ref=10.1186/s13098-018-0331-8</t>
  </si>
  <si>
    <t>122</t>
  </si>
  <si>
    <t>glimepiride [PMID 20553106]</t>
  </si>
  <si>
    <t>In a prospective population-based study of severe sulfonylurea-induced hypoglycemia, glimepiride (98 of 139 cases) caused severe hypoglycemia across a wide dose range with no constant dose-effect relationship; affected patients were elderly (mean age 77.5 years) with impaired renal function (mean c…</t>
  </si>
  <si>
    <t>123</t>
  </si>
  <si>
    <t>glipizide [PMID 9096986]</t>
  </si>
  <si>
    <t>Across two multicenter RCTs of glipizide GITS given once daily over a 5-60 mg dose range, all doses significantly reduced fasting plasma glucose and HbA1c versus placebo; pharmacodynamic modelling indicated maximal HbA1c reduction was reached at 5 mg and maximal FPG reduction at 20 mg, with limited…</t>
  </si>
  <si>
    <t>Efficacy, safety, and dose-response characteristics of glipizide gastrointestinal therapeutic system on glycemic control and insulin secretion in NIDDM. Results of two multicenter, randomized, placebo-controlled clinical trials. (Diabetes care 1997); source_ref=9096986</t>
  </si>
  <si>
    <t>124</t>
  </si>
  <si>
    <t>glipizide [PMID 15133754]</t>
  </si>
  <si>
    <t>Glipizide GITS titrated to 5-20 mg once daily reduced fasting and 24-hour glucose and HbA1c comparably to glibenclamide; morning-dosed glipizide GITS achieved control without persistently elevating 24-hour insulin, a profile the authors describe as consistent with a potentially lower hypoglycemia r…</t>
  </si>
  <si>
    <t>Effects of glipizide GITS and glibenclamide on metabolic control, hepatic glucose production, and insulin secretion in patients with type 2 diabetes. (Diabetes/metabolism research and reviews 2004); source_ref=15133754</t>
  </si>
  <si>
    <t>125</t>
  </si>
  <si>
    <t>glycopyrronium [PMID 30232048]</t>
  </si>
  <si>
    <t>In the phase 3 KRONOS trial, glycopyrronium 18 µg (delivered twice daily as the long-acting muscarinic antagonist component of budesonide/glycopyrronium/formoterol and glycopyrronium/formoterol metered-dose inhalers) contributed to improved lung function (pre-dose trough FEV1) versus dual comparato…</t>
  </si>
  <si>
    <t>Triple therapy with budesonide/glycopyrrolate/formoterol fumarate with co-suspension delivery technology versus dual therapies in chronic obstructive pulmonary disease (KRONOS): a double-blind, parallel-group, multicentre, phase 3 randomised controlled trial. (The Lancet. Respiratory medicine 2018); source_ref=30232048</t>
  </si>
  <si>
    <t>126</t>
  </si>
  <si>
    <t>glycopyrronium [PMID 27598678]</t>
  </si>
  <si>
    <t>In the TRILOGY RCT, adding glycopyrronium bromide 12.5 µg (two actuations twice daily via pressurized metered-dose inhaler, as part of extrafine beclometasone/formoterol/glycopyrronium) improved pre- and 2-hour post-dose FEV1 and reduced moderate-to-severe exacerbations by 23% versus beclometasone/…</t>
  </si>
  <si>
    <t>Single inhaler triple therapy versus inhaled corticosteroid plus long-acting β2-agonist therapy for chronic obstructive pulmonary disease (TRILOGY): a double-blind, parallel group, randomised controlled trial. (Lancet (London, England) 2016); source_ref=27598678</t>
  </si>
  <si>
    <t>127</t>
  </si>
  <si>
    <t>hydrochlorothiazide [PMID 36516076]</t>
  </si>
  <si>
    <t>In a pragmatic randomized trial, patients receiving hydrochlorothiazide 25 or 50 mg/day who continued HCTZ showed no significant difference in major adverse cardiovascular events versus those switched to chlorthalidone 12.5 or 25 mg/day, indicating comparable outcomes at these standard thiazide dos…</t>
  </si>
  <si>
    <t>Chlorthalidone vs. Hydrochlorothiazide for Hypertension-Cardiovascular Events. (The New England Journal of Medicine 2022); source_ref=36516076</t>
  </si>
  <si>
    <t>128</t>
  </si>
  <si>
    <t>ibuprofen [PMID 33662136]</t>
  </si>
  <si>
    <t>Ibuprofen use was associated with a statistically significant increased risk of hospital-acquired acute kidney injury (adjusted HR 1.23, 95% CI 1.14-1.34), and dose-response analysis indicated the association was dose-dependent, with higher hazard in children with chronic kidney disease, ICU need, …</t>
  </si>
  <si>
    <t>Association of Ibuprofen Prescription With Acute Kidney Injury Among Hospitalized Children in China. (JAMA Network Open 2021); source_ref=33662136</t>
  </si>
  <si>
    <t>129</t>
  </si>
  <si>
    <t>indapamide [PMID 39217570]</t>
  </si>
  <si>
    <t>In a placebo-controlled trial, a triple single-pill combination containing indapamide at 0.625 mg (quarter dose) or 1.25 mg (half dose), combined with telmisartan and amlodipine, produced effective blood-pressure lowering versus placebo, supporting efficacy of ultra-low indapamide doses within comb…</t>
  </si>
  <si>
    <t>Efficacy and Safety of a Novel Low-Dose Triple Single-Pill Combination Compared With Placebo for Initial Treatment of Hypertension. (Journal of the American College of Cardiology 2024); source_ref=39217570</t>
  </si>
  <si>
    <t>130</t>
  </si>
  <si>
    <t>indapamide [PMID 34469767]</t>
  </si>
  <si>
    <t>A single-pill quadruple combination containing indapamide 0.625 mg (alongside irbesartan 37.5 mg, amlodipine 1.25 mg, bisoprolol 2.5 mg) as an initial strategy achieved better blood-pressure control than monotherapy with irbesartan 150 mg, indicating efficacy of quarter-dose indapamide within combi…</t>
  </si>
  <si>
    <t>Initial treatment with a single pill containing quadruple combination of quarter doses of blood pressure medicines versus standard dose monotherapy in patients with hypertension (QUARTET): a phase 3, randomised, double-blind, active-controlled trial. (The Lancet 2021); source_ref=34469767</t>
  </si>
  <si>
    <t>131</t>
  </si>
  <si>
    <t>lacosamide [PMID 36597805]</t>
  </si>
  <si>
    <t>In a single-center retrospective study of 44 adults with lacosamide serum concentrations &gt;10 mg/L, the median concentration was 13.4 mg/L, adverse effects were reported in 41% of patients, and 48% required a lacosamide dose reduction — the authors questioned whether the updated 10-20 mg/L peak refe…</t>
  </si>
  <si>
    <t>Therapeutic Drug Monitoring of Lacosamide: Is 10 to 20 mg/L a Suitable Reference Range for Patients With Epilepsy? (Clinical Neuropharmacology 2022); source_ref=36597805</t>
  </si>
  <si>
    <t>132</t>
  </si>
  <si>
    <t>lacosamide [PMID 31950342]</t>
  </si>
  <si>
    <t>This literature review of 56 articles reported that lacosamide dose is linearly correlated with plasma concentration and efficacy, and that its predictable linear pharmacokinetics and few drug interactions distinguish it from agents such as phenytoin and carbamazepine that require vigorous monitori…</t>
  </si>
  <si>
    <t>Is Therapeutic Drug Monitoring of Lacosamide Needed in Patients with Seizures and Epilepsy? (European Journal of Drug Metabolism and Pharmacokinetics 2020); source_ref=31950342</t>
  </si>
  <si>
    <t>133</t>
  </si>
  <si>
    <t>lercanidipine [PMID 31353479]</t>
  </si>
  <si>
    <t>In hypertensive patients given a single oral dose of racemic lercanidipine 20 mg, lercanidipine pharmacokinetics were non-enantioselective and were not significantly affected by co-administered carvedilol or by chronic kidney disease (eGFR category G3b-G5).</t>
  </si>
  <si>
    <t>Effect of Lercanidipine on the Pharmacokinetics-Pharmacodynamics of Carvedilol Enantiomers in Patients With Chronic Kidney Disease. (Journal of Clinical Pharmacology 2019); source_ref=31353479</t>
  </si>
  <si>
    <t>134</t>
  </si>
  <si>
    <t>levetiracetam [PMID 39969140]</t>
  </si>
  <si>
    <t>This literature review of 13 studies found that a levetiracetam starting dose of 500 mg twice daily was consistently inadequate in critically ill patients with augmented renal clearance (prevalence 30-90%), because enhanced renal elimination lowered exposure, supporting the need for upward dose adj…</t>
  </si>
  <si>
    <t>The Impact of Augmented Renal Clearance on the Pharmacokinetics of Levetiracetam in Critically Ill Patients: A Literature Review. (Journal of Clinical Pharmacology 2025); source_ref=39969140</t>
  </si>
  <si>
    <t>135</t>
  </si>
  <si>
    <t>levetiracetam [PMID 38748860]</t>
  </si>
  <si>
    <t>This expert review reported that because pregnancy increases renal and hepatic clearance and lowers drug concentrations, levetiracetam (alongside lamotrigine and oxcarbazepine) should have serum concentrations monitored and doses increased during pregnancy to maintain the individualized target rang…</t>
  </si>
  <si>
    <t>The impact of pregnancy-related hormonal and physiological changes on antiseizure medications: expert perspective. (Expert Review of Clinical Pharmacology 2024); source_ref=38748860</t>
  </si>
  <si>
    <t>136</t>
  </si>
  <si>
    <t>liothyronine [PMID 32279609]</t>
  </si>
  <si>
    <t>Review reports that when adding LT3 to LT4, an appropriate starting regimen is reducing the LT4 dose by 25 mcg/day and adding 2.5-7.5 mcg liothyronine (LT3) once or twice daily; the authors note transient hypertriiodothyroninemia at these doses is unlikely to exceed the reference range and was not …</t>
  </si>
  <si>
    <t>Liothyronine and Desiccated Thyroid Extract in the Treatment of Hypothyroidism. (Thyroid 2020); source_ref=32279609</t>
  </si>
  <si>
    <t>137</t>
  </si>
  <si>
    <t>liothyronine [PMID 38124252]</t>
  </si>
  <si>
    <t>In this RCT, the intervention arm received twice-daily combination therapy (LT4+LT3 in the morning and LT3 in the evening), with doses adapted according to TSH level, versus a placebo-evening arm; the study evaluated effects on peripheral-tissue markers (SHBG) and quality of life in 141 randomized …</t>
  </si>
  <si>
    <t>Randomized double-blind placebo-controlled trial on levothyroxine and liothyronine combination therapy in totally thyroidectomized subjects: the LEVOLIO study. (Eur J Endocrinol 2024); source_ref=38124252</t>
  </si>
  <si>
    <t>138</t>
  </si>
  <si>
    <t>liothyronine [PMID 39844539]</t>
  </si>
  <si>
    <t>Study replaced LT4 with a once-daily slow-release T3 dose of 0.55 microg/kg (chosen as equivalent to 1.6 microg/kg LT4) in hypothyroid patients, reporting on serum fT4, T3, and TSH responses over weeks of monitoring.</t>
  </si>
  <si>
    <t>Treatment of Primary Hypothyroidism by Slow-Release Liothyronine Monotherapy. (Endocr Metab Immune Disord Drug Targets 2025); source_ref=39844539</t>
  </si>
  <si>
    <t>139</t>
  </si>
  <si>
    <t>lisinopril [PMID 15938035]</t>
  </si>
  <si>
    <t>In an antiproteinuric titration strategy, lisinopril was added in increasing doses up to a maximum of 40 mg/day (on top of irbesartan 300 mg plus diuretic), with titration stopped when target proteinuria (&lt;1 g/day) was reached or higher doses were not tolerated; residual proteinuria fell by about 5…</t>
  </si>
  <si>
    <t>Individual titration for maximal blockade of the renin-angiotensin system in proteinuric patients: a feasible strategy? (J Am Soc Nephrol 2005); source_ref=15938035</t>
  </si>
  <si>
    <t>140</t>
  </si>
  <si>
    <t>lisinopril [PMID 12566371]</t>
  </si>
  <si>
    <t>Uptitration of lisinopril to maximum tolerated doses (median 30, range 10-40 mg/day) dose-dependently reduced proteinuria and lowered serum total and LDL cholesterol and triglycerides; proteinuria already decreased at 10 mg/day in 28 patients.</t>
  </si>
  <si>
    <t>Diverse effects of increasing lisinopril doses on lipid abnormalities in chronic nephropathies. (Circulation 2003); source_ref=12566371</t>
  </si>
  <si>
    <t>141</t>
  </si>
  <si>
    <t>mesalazine [PMID 29722441]</t>
  </si>
  <si>
    <t>Systematic review examining whether adverse drug events differ between high-dose (&gt;2.4 g/day) and low-dose (&lt;=2.4 g/day) mesalazine; it summarized adverse events from 91 included studies and estimated incidence rates from randomized controlled trial data.</t>
  </si>
  <si>
    <t>Systematic review: safety of mesalazine in ulcerative colitis. (Aliment Pharmacol Ther 2018); source_ref=29722441</t>
  </si>
  <si>
    <t>142</t>
  </si>
  <si>
    <t>mesalazine [PMID 37901343]</t>
  </si>
  <si>
    <t>Post hoc analysis of 675 UC patients who received 3.2 g/day mesalazine induction, then were separated by response into groups receiving different maintenance doses over a 38-week extension; the analysis assessed clinical and endoscopic outcomes of the differing maintenance doses, noting higher dose…</t>
  </si>
  <si>
    <t>Assessing the Clinical and Endoscopic Efficacy of Extended Treatment Duration with Different Doses of Mesalazine for Mild-to-Moderate Ulcerative Colitis beyond 8 Weeks of Induction. (Inflamm Intest Dis 2023); source_ref=37901343</t>
  </si>
  <si>
    <t>143</t>
  </si>
  <si>
    <t>mesalazine [PMID 32856298]</t>
  </si>
  <si>
    <t>Cochrane review assessed dose-responsiveness and compared once-daily oral 5-ASA (mesalazine) dosing with conventional two- or three-times-daily regimens for maintaining remission; related guideline synthesis reports once-daily dosing is equivalent to split dosing in mild-moderate UC.</t>
  </si>
  <si>
    <t>Oral 5-aminosalicylic acid for maintenance of remission in ulcerative colitis. (Cochrane Database Syst Rev 2020); source_ref=32856298</t>
  </si>
  <si>
    <t>144</t>
  </si>
  <si>
    <t>metformin [PMID 39160349]</t>
  </si>
  <si>
    <t>In a PK modeling study, metformin renal clearance decreased proportionally with reductions in estimated glomerular filtration rate (eGFR); dose adjustment based on the reduced clearance yielded correspondingly lower estimated metformin doses while maintaining the desired drug exposure.</t>
  </si>
  <si>
    <t>Modeling Metformin and Dapagliflozin Pharmacokinetics in Chronic Kidney Disease. (The AAPS Journal 2024); source_ref=39160349</t>
  </si>
  <si>
    <t>145</t>
  </si>
  <si>
    <t>metformin [PMID 30061044]</t>
  </si>
  <si>
    <t>Reviewing Lalau and colleagues' complementary studies, the authors report that when metformin dosage was adjusted to the level of CKD (stages 3A, 3B or 4), pharmacokinetics remained stable and metformin levels correlated with eGFR but not with plasma lactate; they conclude metformin is a safe optio…</t>
  </si>
  <si>
    <t>Safe Use of Metformin in Adults With Type 2 Diabetes and Chronic Kidney Disease: Lower Dosages and Sick-Day Education Are Essential. (Canadian Journal of Diabetes 2018); source_ref=30061044</t>
  </si>
  <si>
    <t>146</t>
  </si>
  <si>
    <t>metformin [PMID 39472832]</t>
  </si>
  <si>
    <t>In a scoping review plus modified Delphi panel, metformin was unanimously selected by all round-3 participants as one of the top-ranked medications that should be dose-adjusted or avoided in individuals with an eGFR below 30 mL/min (stage 4-5 CKD).</t>
  </si>
  <si>
    <t>Medications for community pharmacists to dose adjust or avoid to enhance prescribing safety in individuals with advanced chronic kidney disease: a scoping review and modified Delphi. (BMC Nephrology 2024); source_ref=39472832</t>
  </si>
  <si>
    <t>147</t>
  </si>
  <si>
    <t>methenamine hippurate [PMID 35535708]</t>
  </si>
  <si>
    <t>In the ALTAR non-inferiority RCT, methenamine hippurate 1 g twice daily was not inferior to once-daily low-dose antibiotic prophylaxis for preventing recurrent UTI over 12 months (methenamine 1.38 vs antibiotics 0.89 symptomatic antibiotic-treated UTIs per person-year; absolute difference within th…</t>
  </si>
  <si>
    <t>Methenamine hippurate compared with antibiotic prophylaxis to prevent recurrent urinary tract infections in women: the ALTAR non-inferiority RCT. (Health Technology Assessment 2022); source_ref=35535708</t>
  </si>
  <si>
    <t>148</t>
  </si>
  <si>
    <t>methenamine hippurate [PMID 42405348]</t>
  </si>
  <si>
    <t>In the ImpresU randomized controlled trial, women aged &gt;=70 years with recurrent UTIs received methenamine hippurate 1 g or placebo twice daily for 6 months; no relevant differences in antimicrobial resistance rates were found between methenamine hippurate users and controls.</t>
  </si>
  <si>
    <t>Microbiological findings, antibiotic resistance rates and prescription practices for older women with recurrent urinary tract infections: a descriptive study alongside a multinational randomized controlled trial (ImpresU). (JAC-Antimicrobial Resistance 2026); source_ref=42405348</t>
  </si>
  <si>
    <t>149</t>
  </si>
  <si>
    <t>mirtazapine [PMID 31178367]</t>
  </si>
  <si>
    <t>In a dose-response meta-analysis of fixed-dose double-blind RCTs (11 mirtazapine treatment groups), mirtazapine efficacy increased up to a dose of about 30 mg/day and then decreased at higher doses, with optimal acceptability (fewest all-cause dropouts) in the lower range of the licensed dose.</t>
  </si>
  <si>
    <t>150</t>
  </si>
  <si>
    <t>mirtazapine [PMID 25911132]</t>
  </si>
  <si>
    <t>Using flexible-dose double-blind RCT data referenced to fluoxetine, mirtazapine 50.9 mg/day was calculated as the dose equivalent to fluoxetine 40 mg/day.</t>
  </si>
  <si>
    <t>Dose equivalents of antidepressants: Evidence-based recommendations from randomized controlled trials. (Journal of Affective Disorders 2015); source_ref=25911132</t>
  </si>
  <si>
    <t>151</t>
  </si>
  <si>
    <t>mirtazapine [PMID 40830610]</t>
  </si>
  <si>
    <t>In a naturalistic TDM cohort of 328 patients, elderly patients (&gt;65 years) showed a 27% higher median concentration-to-dose (C/D) ratio and women an 18% higher C/D ratio than comparators, with 38% of serum levels below the therapeutic reference range; the authors highlight the need for individualiz…</t>
  </si>
  <si>
    <t>Optimizing therapeutic drug monitoring of mirtazapine - applying therapeutic reference range, concentration-dose ratio/dose-related concentration, and metabolic ratio in a naturalistic setting. (European Journal of Clinical Pharmacology 2025); source_ref=40830610</t>
  </si>
  <si>
    <t>152</t>
  </si>
  <si>
    <t>morphine [PMID 32982255]</t>
  </si>
  <si>
    <t>Narrative review reports that morphine (and codeine) are not recommended in CKD/hemodialysis because accumulation of their metabolites may cause neurotoxic symptoms; oxycodone and hydromorphone are described as usable with dose adjustment, and buprenorphine/fentanyl as preferable first-line options…</t>
  </si>
  <si>
    <t>Safe Use of Opioids in Chronic Kidney Disease and Hemodialysis Patients: Tips and Tricks for Non-Pain Specialists. (Therapeutics and Clinical Risk Management 2020); source_ref=32982255</t>
  </si>
  <si>
    <t>153</t>
  </si>
  <si>
    <t>moxonidine [PMID 10489098]</t>
  </si>
  <si>
    <t>Review reports moxonidine is largely excreted unchanged with a plasma half-life of about 2.5 h that is prolonged by renal insufficiency, while its antihypertensive effect outlasts the half-life, supporting once-daily oral administration.</t>
  </si>
  <si>
    <t>Moxonidine: a new antiadrenergic antihypertensive agent. (Journal of Hypertension. Supplement 1999); source_ref=10489098</t>
  </si>
  <si>
    <t>154</t>
  </si>
  <si>
    <t>mycophenolate [PMID 33711005]</t>
  </si>
  <si>
    <t>IATDMCT consensus report provides graded recommendations supporting MPA area-under-the-curve target ranges estimated via limited-sampling strategies for personalized dosing, moving away from the originally marketed fixed dosing.</t>
  </si>
  <si>
    <t>Personalized Therapy for Mycophenolate: Consensus Report by the International Association of Therapeutic Drug Monitoring and Clinical Toxicology. (Therapeutic Drug Monitoring 2021); source_ref=33711005</t>
  </si>
  <si>
    <t>155</t>
  </si>
  <si>
    <t>mycophenolate [PMID 31219949]</t>
  </si>
  <si>
    <t>Randomized study observed that concentration-controlled (TDM-guided) dosing of EC-MPS reached target MPA AUC0-12 faster than fixed dosing, with all concentration-controlled participants achieving target AUC from the second visit versus none of the fixed-dose participants.</t>
  </si>
  <si>
    <t>Pharmacokinetics of Enteric-Coated Mycophenolate Sodium in Lupus Nephritis (POEMSLUN). (Therapeutic Drug Monitoring 2019); source_ref=31219949</t>
  </si>
  <si>
    <t>156</t>
  </si>
  <si>
    <t>mycophenolate [PMID 24811231]</t>
  </si>
  <si>
    <t>Review suggests, based on current literature, potential MPA monitoring targets of a pre-dose (trough) level of 3.0 mg/L and an AUC between 35 and 45 mg·h/L, and advises assessing exposure early after starting treatment.</t>
  </si>
  <si>
    <t>To TDM or not to TDM in lupus nephritis patients treated with MMF? (Nephrology Dialysis Transplantation 2014); source_ref=24811231</t>
  </si>
  <si>
    <t>157</t>
  </si>
  <si>
    <t>naproxen [PMID 27959716]</t>
  </si>
  <si>
    <t>In the PRECISION randomised trial, patients assigned to naproxen received a mean daily dose of 852 (SD 103) mg over a mean 20.3 months; at this moderate dose naproxen showed cardiovascular event rates (2.5% ITT) comparable to celecoxib and ibuprofen, with celecoxib noninferior to naproxen for the c…</t>
  </si>
  <si>
    <t>Cardiovascular Safety of Celecoxib, Naproxen, or Ibuprofen for Arthritis. (N Engl J Med 2016); source_ref=27959716</t>
  </si>
  <si>
    <t>158</t>
  </si>
  <si>
    <t>nebivolol [PMID 24881993]</t>
  </si>
  <si>
    <t>In an 8-week phase 3 trial, nebivolol/valsartan fixed-dose combinations (up to 20/320 mg/day) produced significantly greater diastolic BP reductions than the highest nebivolol monotherapy dose (40 mg/day; least-squares mean difference -1.2 mm Hg) and than valsartan 320 mg/day (-4.4 mm Hg), with 30-…</t>
  </si>
  <si>
    <t>Efficacy and safety of nebivolol and valsartan as fixed-dose combination in hypertension: a randomised, multicentre study. (Lancet 2014); source_ref=24881993</t>
  </si>
  <si>
    <t>159</t>
  </si>
  <si>
    <t>nebivolol [PMID 25267802]</t>
  </si>
  <si>
    <t>A single oral 5 mg dose of nebivolol lowered nighttime supine systolic BP (maximal reduction ~24 mm Hg vs placebo) in autonomic failure patients, with the effect concentrated in sildenafil-responders (-44 mm Hg) and absent in non-responders, and without worsening morning orthostatic tolerance.</t>
  </si>
  <si>
    <t>Nebivolol, but not metoprolol, lowers blood pressure in nitric oxide-sensitive human hypertension. (Hypertension 2014); source_ref=25267802</t>
  </si>
  <si>
    <t>160</t>
  </si>
  <si>
    <t>nitrofurantoin [PMID 37266591]</t>
  </si>
  <si>
    <t>Urinary nitrofurantoin exposure was near-identical for 50 mg q6h (1028 mg·h/L) versus 100 mg q12h (1036 mg·h/L; p=0.97) and was not significantly affected by age or eGFR, leading the authors to conclude the data do not support discouraging nitrofurantoin use in the elderly or in impaired renal func…</t>
  </si>
  <si>
    <t>Nitrofurantoin for the treatment of uncomplicated urinary tract infection in female patients: the impact of dosing regimen, age, and renal function on drug exposure. (Eur J Clin Pharmacol 2023); source_ref=37266591</t>
  </si>
  <si>
    <t>161</t>
  </si>
  <si>
    <t>nitrofurantoin [PMID 32165321]</t>
  </si>
  <si>
    <t>Clinical failure of 5-day nitrofurantoin for uncomplicated cystitis rose modestly as renal function fell (adjusted OR 1.05 per 10 mL/min eGFR decrease); nitrofurantoin outperformed fosfomycin and trimethoprim at eGFR &gt;=60 mL/min, but at eGFR &lt;60 mL/min single-dose fosfomycin had fewer failures (16.…</t>
  </si>
  <si>
    <t>The effectiveness of nitrofurantoin, fosfomycin and trimethoprim for the treatment of cystitis in relation to renal function. (Clin Microbiol Infect 2020); source_ref=32165321</t>
  </si>
  <si>
    <t>162</t>
  </si>
  <si>
    <t>nizatidine [PMID 9118586]</t>
  </si>
  <si>
    <t>In this pharmacokinetic review of GORD therapy, H2-receptor antagonists including nizatidine showed linear pharmacokinetics that make dose adjustment straightforward; the authors observe that elimination is delayed in elderly patients and that dose reductions of all H2-receptor antagonists are reco…</t>
  </si>
  <si>
    <t>Pharmacokinetic optimisation in the treatment of gastro-oesophageal reflux disease. (Clinical Pharmacokinetics 1996); source_ref=9118586</t>
  </si>
  <si>
    <t>163</t>
  </si>
  <si>
    <t>olmesartan [PMID 17953473]</t>
  </si>
  <si>
    <t>In an integrated analysis of seven placebo-controlled dose-ranging trials (n=3055), olmesartan medoxomil 2.5-80 mg/day lowered blood pressure dose-dependently; the 20 mg/day and 40 mg/day doses were significantly more effective than 5 mg/day, and 40 mg/day was significantly more effective than 20 m…</t>
  </si>
  <si>
    <t>Dose-response characteristics of olmesartan medoxomil and other angiotensin receptor antagonists. (American Journal of Cardiovascular Drugs 2007); source_ref=17953473</t>
  </si>
  <si>
    <t>164</t>
  </si>
  <si>
    <t>olmesartan [PMID 15291377]</t>
  </si>
  <si>
    <t>In a randomized, double-blind, placebo-controlled dose-finding study of 792 patients, olmesartan 2.5-80 mg once daily produced dose-dependent reductions in sitting diastolic and systolic blood pressure; doses of 10-80 mg were significantly superior to placebo and the 20 mg dose was judged optimal, …</t>
  </si>
  <si>
    <t>Clinical efficacy and tolerability of olmesartan. (Clinical Therapeutics 2004); source_ref=15291377</t>
  </si>
  <si>
    <t>165</t>
  </si>
  <si>
    <t>olmesartan [PMID 15291378]</t>
  </si>
  <si>
    <t>Across three head-to-head trials, olmesartan 20 mg/day reduced blood pressure more than losartan 50 mg, valsartan 80 mg, and irbesartan 150 mg once daily, and olmesartan 10 mg/day reduced BP more than losartan 50 mg, at each agent's recommended maintenance dose.</t>
  </si>
  <si>
    <t>Olmesartan compared with other angiotensin II receptor antagonists: head-to-head trials. (Clinical Therapeutics 2004); source_ref=15291378</t>
  </si>
  <si>
    <t>166</t>
  </si>
  <si>
    <t>oxcarbazepine [PMID 35157004]</t>
  </si>
  <si>
    <t>In the MONEAD prospective cohort, dose-normalized oxcarbazepine plasma concentrations fell by 32.6% (unbound 30.6%) during pregnancy compared with postpartum values and declined progressively with gestational week, leading the authors to suggest therapeutic drug monitoring should begin early and th…</t>
  </si>
  <si>
    <t>Antiseizure Medication Concentrations During Pregnancy: Results From the Maternal Outcomes and Neurodevelopmental Effects of Antiepileptic Drugs (MONEAD) Study. (JAMA Neurology 2022); source_ref=35157004</t>
  </si>
  <si>
    <t>167</t>
  </si>
  <si>
    <t>oxcarbazepine [PMID 18929085]</t>
  </si>
  <si>
    <t>This review concludes that oxcarbazepine clearance most likely increases during pregnancy (alongside phenobarbital and levetiracetam), which lowers drug concentrations and supports therapeutic drug monitoring with dose adjustment to maintain the individual's target concentration.</t>
  </si>
  <si>
    <t>Antiepileptic drug therapy in pregnancy I: gestation-induced effects on AED pharmacokinetics. (International Review of Neurobiology 2008); source_ref=18929085</t>
  </si>
  <si>
    <t>168</t>
  </si>
  <si>
    <t>penicillamine [PMID 36565232]</t>
  </si>
  <si>
    <t>In a case of penicillamine-induced degenerative dermopathy, withdrawal or reduction of the penicillamine dose was observed to improve the dermopathy features.</t>
  </si>
  <si>
    <t>Penicillamine-induced degenerative dermopathy in a patient with Wilson's disease. (Australasian Journal of Dermatology 2022); source_ref=36565232</t>
  </si>
  <si>
    <t>169</t>
  </si>
  <si>
    <t>perindopril [PMID 28306636]</t>
  </si>
  <si>
    <t>Up-titration of a perindopril/indapamide/amlodipine single pill stepwise from 5/1.25/5 mg to a maximum of 10/2.5/10 mg produced superior blood-pressure reductions versus dual perindopril/indapamide 5/1.25 mg and was well tolerated, with BP control rates over 80%.</t>
  </si>
  <si>
    <t>Blood pressure-lowering efficacy and safety of perindopril/indapamide/amlodipine single-pill combination in patients with uncontrolled essential hypertension: a multicenter, randomized, double-blind, controlled trial. (Journal of Hypertension 2017); source_ref=28306636</t>
  </si>
  <si>
    <t>170</t>
  </si>
  <si>
    <t>phenobarbital [PMID 28940525]</t>
  </si>
  <si>
    <t>A weight-normalized loading dose of 15 mg/kg produced simulated target peak concentrations in 72% of neonates and a daily maintenance dose of 3 mg/kg/day achieved steady-state within the therapeutic window in the same proportion.</t>
  </si>
  <si>
    <t>Estimation of initial phenobarbital dosing in term neonates with moderate-to-severe hypoxic ischaemic encephalopathy following perinatal asphyxia. (Journal of Clinical Pharmacy and Therapeutics 2017); source_ref=28940525</t>
  </si>
  <si>
    <t>171</t>
  </si>
  <si>
    <t>phenobarbital [PMID 22023343]</t>
  </si>
  <si>
    <t>In a population PK model, phenobarbital clearance rose proportionately with body weight and postnatal age but decreased nonlinearly once serum concentration exceeded 50 microg/mL, indicating dose–concentration nonlinearity relevant to selecting initial and maintenance doses.</t>
  </si>
  <si>
    <t>Population pharmacokinetics of phenobarbital by mixed effect modelling using routine clinical pharmacokinetic data in Japanese neonates and infants: an update. (Journal of Clinical Pharmacy and Therapeutics 2010); source_ref=22023343</t>
  </si>
  <si>
    <t>172</t>
  </si>
  <si>
    <t>pramipexole [PMID 37886872]</t>
  </si>
  <si>
    <t>In a 12-week double-blind Phase 3 trial (NCT03329508), marketed extended-release pramipexole titrated to optimal dose across the 1.5-4.5 mg/day range (mean achieved 3.2 mg) gave efficacy comparable to a fixed low-dose ER combination containing pramipexole 0.6 mg, but the titrated higher-dose arm sh…</t>
  </si>
  <si>
    <t>A Randomized Phase 3 Study Comparing P2B001 to its Components (Low-Dose Extended-Release Rasagiline and Pramipexole) and to Optimized Doses of Marketed Extended-Release Pramipexole in Early Parkinson's Disease. (Movement disorders : official journal of the Movement Disorder Society 2023); source_ref=37886872</t>
  </si>
  <si>
    <t>173</t>
  </si>
  <si>
    <t>potassium chloride [PMID 31478945]</t>
  </si>
  <si>
    <t>A tertiary Veterans Affairs medical center described creating a clinical pathway for ordering oral immediate-release liquid potassium chloride for inpatient hypokalemia repletion, favoring the oral route over intravenous and immediate-release liquid for its rapid absorption and subsequent rise in s…</t>
  </si>
  <si>
    <t>Oral Liquid Potassium Chloride Dosing Pathway in a Tertiary Care Veteran Affairs Academic Medical Center. (Critical pathways in cardiology 2020); source_ref=31478945</t>
  </si>
  <si>
    <t>174</t>
  </si>
  <si>
    <t>phosphorus [PMID 35986488]</t>
  </si>
  <si>
    <t>In a retrospective chart review of severely burn-injured patients on high-volume hemofiltration, phosphorus supplementation averaging 0.75 mmol/kg/day was still associated with more days of hypophosphatemia (49.6% vs 29.3% of days) than a matched non-AKI control group receiving 0.66 mmol/kg/day, in…</t>
  </si>
  <si>
    <t>A Retrospective Chart Review to Determine Hypophosphatemia Incidence and Phosphorus Supplementation Requirements in Patients With Severe Thermal Cutaneous Injuries Receiving High-Volume Hemofiltration. (Journal of burn care &amp; research : official publication of the American Burn Association 2023); source_ref=35986488</t>
  </si>
  <si>
    <t>175</t>
  </si>
  <si>
    <t>phosphorus [PMID 23186962]</t>
  </si>
  <si>
    <t>A case report describes a patient with hypophosphatemic rickets treated from childhood with high-dose phosphate therapy (2-6 g of elemental phosphorus/day), including a 6-year period of phosphate-only therapy, who later developed tertiary hyperparathyroidism with extensive cardiac and coronary calc…</t>
  </si>
  <si>
    <t>Heart failure in hypophosphatemic rickets: complications from high-dose phosphate therapy. (Endocrine practice : official journal of the American College of Endocrinology and the American Association of Clinical Endocrinologists 2013); source_ref=23186962</t>
  </si>
  <si>
    <t>176</t>
  </si>
  <si>
    <t>pravastatin [PMID 30549267]</t>
  </si>
  <si>
    <t>In children and adolescents (8-20y) with hypercholesterolemia given a single oral dose, SLCO1B1 c.521T&gt;C variant carriers (521TC/521CC) showed approximately twofold higher mean pravastatin acid systemic exposure than wild-type controls, though interindividual variability within each genotype group …</t>
  </si>
  <si>
    <t>Impact of Genetic Variation on Pravastatin Systemic Exposure in Pediatric Hypercholesterolemia. (Clinical pharmacology and therapeutics 2019); source_ref=30549267</t>
  </si>
  <si>
    <t>177</t>
  </si>
  <si>
    <t>probenecid [PMID 31856304]</t>
  </si>
  <si>
    <t>In healthy adults, probenecid 1 g coadministered with imipenem/relebactam reduced the renal clearance of relebactam and imipenem by 25% and 31% respectively, but produced no clinically meaningful change in their plasma exposure (geometric mean ratios ~1.24 and ~1.16).</t>
  </si>
  <si>
    <t>Impact of renal impairment and human organic anion transporter inhibition on pharmacokinetics, safety and tolerability of relebactam combined with imipenem and cilastatin. (British journal of clinical pharmacology 2020); source_ref=31856304</t>
  </si>
  <si>
    <t>178</t>
  </si>
  <si>
    <t>pyridostigmine [PMID 39169694]</t>
  </si>
  <si>
    <t>In a 37-year-old man in myasthenic crisis, a therapeutic pyridostigmine bromide dose of 660 mg/day was associated with an elevated serum bromide level (37 µg/mL), a low anion gap, and neurological agitation that improved after pyridostigmine dose reduction.</t>
  </si>
  <si>
    <t>A case report of elevated bromide levels from pyridostigmine bromide for treatment of myasthenia gravis. (American journal of health-system pharmacy : AJHP 2024); source_ref=39169694</t>
  </si>
  <si>
    <t>179</t>
  </si>
  <si>
    <t>pyridostigmine [PMID 38256317]</t>
  </si>
  <si>
    <t>Among myasthenia gravis patients, those with comorbid depression on antidepressant treatment required a higher mean daily pyridostigmine dose (144.49 mg) than patients without depression (107.67 mg).</t>
  </si>
  <si>
    <t>Depression: A Contributing Factor to the Clinical Course in Myasthenia Gravis Patients. (Medicina (Kaunas, Lithuania) 2023); source_ref=38256317</t>
  </si>
  <si>
    <t>180</t>
  </si>
  <si>
    <t>ramipril [PMID 24263162]</t>
  </si>
  <si>
    <t>In a chart audit of heart-failure inpatients with renal dysfunction, ramipril was among the drugs most frequently prescribed at inappropriately high doses relative to estimated eGFR, illustrating that ramipril dosing should be reduced according to creatinine clearance.</t>
  </si>
  <si>
    <t>181</t>
  </si>
  <si>
    <t>ramipril [PMID 26931625]</t>
  </si>
  <si>
    <t>In a cross-sectional study of elderly nursing-home residents, ramipril was one of the drugs most often taken at a contraindicated or incorrectly high dose given the residents' renal insufficiency, reinforcing that ramipril dose requires adjustment to measured renal function in the elderly.</t>
  </si>
  <si>
    <t>Renal Insufficiency and Medication in Nursing Home Residents. A Cross-Sectional Study (IMREN). (Deutsches Arzteblatt International 2016); source_ref=26931625</t>
  </si>
  <si>
    <t>182</t>
  </si>
  <si>
    <t>reboxetine [PMID 25911132]</t>
  </si>
  <si>
    <t>Using weighted mean doses from flexible-dose RCTs, reboxetine 11.5 mg/day was estimated to be equivalent in dose to fluoxetine 40 mg/day, providing an evidence-based conversion reference when switching antidepressants.</t>
  </si>
  <si>
    <t>183</t>
  </si>
  <si>
    <t>reboxetine [PMID 38902199]</t>
  </si>
  <si>
    <t>In a network/model-based meta-analysis, reboxetine showed a linear increase in antidepressant effect size from low to high doses (and had the lowest efficacy odds ratio, 1.34, among studied antidepressants), unlike most agents whose maximal efficacy plateaued at low-to-middle doses.</t>
  </si>
  <si>
    <t>Efficacy and dose-response relationships of antidepressants in the acute treatment of major depressive disorders: a systematic review and network meta-analysis. (Chinese Medical Journal 2024); source_ref=38902199</t>
  </si>
  <si>
    <t>184</t>
  </si>
  <si>
    <t>reboxetine [PMID 24940977]</t>
  </si>
  <si>
    <t>In an early UK post-marketing survey, most patients were treated with reboxetine 8 mg/day, with a 'good' overall clinical response reported in over 65% of patients at that dose.</t>
  </si>
  <si>
    <t>Reboxetine in the treatment of depression: Early clinical experience in the UK. (International Journal of Psychiatry in Clinical Practice 1998); source_ref=24940977</t>
  </si>
  <si>
    <t>185</t>
  </si>
  <si>
    <t>risedronate [PMID 23150144]</t>
  </si>
  <si>
    <t>Risedronate 75 mg taken on 2 consecutive days each month was non-inferior to 5 mg daily for lumbar-spine BMD gain (mean change ~4.2% vs 4.3% at 24 months) with comparable tolerability, supporting the monthly regimen as an alternative to daily dosing.</t>
  </si>
  <si>
    <t>A novel monthly dosing regimen of risedronate for the treatment of postmenopausal osteoporosis: 2-year data. (Calcified Tissue International 2012); source_ref=23150144</t>
  </si>
  <si>
    <t>186</t>
  </si>
  <si>
    <t>risedronate [PMID 26051110]</t>
  </si>
  <si>
    <t>Risedronate 35 mg once weekly showed efficacy on lumbar-spine BMD and bone-turnover markers similar to 5 mg daily over 1 year (mean lumbar-spine BMD gain 4.87% vs 4.35%), with comparable safety and tolerability.</t>
  </si>
  <si>
    <t>The efficacy and safety of weekly 35-mg risedronate dosing regimen for Chinese postmenopausal women with osteoporosis or osteopenia: 1-year data. (Acta Pharmacologica Sinica 2015); source_ref=26051110</t>
  </si>
  <si>
    <t>187</t>
  </si>
  <si>
    <t>risedronate [PMID 33805435]</t>
  </si>
  <si>
    <t>Food, calcium/magnesium/iron-containing beverages and supplements markedly reduce oral risedronate bioavailability, so immediate-release risedronate must be separated from food; the delayed-release (DR) 35 mg formulation was designed to be taken after breakfast to overcome this food-absorption prob…</t>
  </si>
  <si>
    <t>Optimal Dosing Regimen of Osteoporosis Drugs in Relation to Food Intake as the Key for the Enhancement of the Treatment Effectiveness—A Concise Literature Review. (Foods 2021); source_ref=33805435</t>
  </si>
  <si>
    <t>188</t>
  </si>
  <si>
    <t>rosuvastatin [DOI 10.1016/j.japh.2025.102395]</t>
  </si>
  <si>
    <t>FDA labeling restricts rosuvastatin to moderate-intensity dosing in advanced CKD; in this real-world cohort, among patients with eGFR &lt;30 mL/min/1.73m2 prescribed rosuvastatin, 67.6% received doses higher than the FDA-recommended dose adjustment for severe kidney dysfunction, indicating frequent no…</t>
  </si>
  <si>
    <t>Statin therapy prescribing in atherosclerotic cardiovascular disease patients with chronic kidney disease. (Journal of the American Pharmacists Association : JAPhA 2025); source_ref=10.1016/j.japh.2025.102395</t>
  </si>
  <si>
    <t>189</t>
  </si>
  <si>
    <t>rosuvastatin [DOI 10.1681/ASN.2020121780]</t>
  </si>
  <si>
    <t>When race adjustment was removed from the CKD-EPI eGFR equation, 6.6% of Black rosuvastatin users were reclassified to a lower eGFR category for which dose adjustment or discontinuation is recommended, illustrating that rosuvastatin dosing decisions are eGFR-threshold dependent.</t>
  </si>
  <si>
    <t>National Estimates of CKD Prevalence and Potential Impact of Estimating Glomerular Filtration Rate Without Race. (Journal of the American Society of Nephrology : JASN 2021); source_ref=10.1681/ASN.2020121780</t>
  </si>
  <si>
    <t>190</t>
  </si>
  <si>
    <t>saxagliptin [PMID 21348538]</t>
  </si>
  <si>
    <t>Saxagliptin AUC was 41% and 108% higher and 5-hydroxy saxagliptin AUC 192% and 347% higher in moderate and severe renal impairment respectively; the authors report that one-half the usual dose (2.5 mg once daily instead of 5 mg) is recommended for moderate (CLCR 30-50 mL/min) or severe renal impair…</t>
  </si>
  <si>
    <t>Influence of renal or hepatic impairment on the pharmacokinetics of saxagliptin. (Clinical pharmacokinetics 2011); source_ref=21348538</t>
  </si>
  <si>
    <t>191</t>
  </si>
  <si>
    <t>saxagliptin [DOI 10.1111/j.1463-1326.2010.01212.x]</t>
  </si>
  <si>
    <t>Review reports that saxagliptin exposure increases significantly in renal impairment so daily dose reduction per estimated GFR is recommended, and that the saxagliptin daily dose should also be reduced when co-administered with potent CYP3A4 inhibitors (saxagliptin being metabolised via CYP3A4/5, u…</t>
  </si>
  <si>
    <t>Pharmacokinetics of dipeptidylpeptidase-4 inhibitors. (Diabetes, obesity &amp; metabolism 2010); source_ref=10.1111/j.1463-1326.2010.01212.x</t>
  </si>
  <si>
    <t>192</t>
  </si>
  <si>
    <t>sacubitril [DOI 10.1002/ejhf.1498]</t>
  </si>
  <si>
    <t>Using a label-based regimen with starting dose 24/26 mg or 49/51 mg twice daily and up-/down-titration by tolerability, roughly half of stabilised HFrEF patients (45.4% pre-discharge vs 50.7% post-discharge) reached the 97/103 mg twice-daily target dose by 10 weeks, with any dose maintained in 86-9…</t>
  </si>
  <si>
    <t>Initiation of sacubitril/valsartan in haemodynamically stabilised heart failure patients in hospital or early after discharge: primary results of the randomised TRANSITION study. (European journal of heart failure 2019); source_ref=10.1002/ejhf.1498</t>
  </si>
  <si>
    <t>193</t>
  </si>
  <si>
    <t>sacubitril [DOI 10.1002/ehf2.14367]</t>
  </si>
  <si>
    <t>In a structured HF follow-up management system, 76.5% of HFrEF outpatients achieved the target dose of sacubitril/valsartan, with a median time to target of 3 months; advanced age and lower systolic blood pressure were predictors of failure to reach target dose.</t>
  </si>
  <si>
    <t>Dose titration of sacubitril/valsartan for heart failure with reduced ejection fraction: a real-world study. (ESC heart failure 2023); source_ref=10.1002/ehf2.14367</t>
  </si>
  <si>
    <t>194</t>
  </si>
  <si>
    <t>sertraline [PMID 31178367]</t>
  </si>
  <si>
    <t>In a dose-response meta-analysis of fixed-dose SSRI trials (with sertraline among the five SSRIs, doses converted to fluoxetine equivalents), the efficacy curve rose up to roughly 20-40 mg fluoxetine equivalents then flattened or declined at higher licensed doses, while dropouts for adverse effects…</t>
  </si>
  <si>
    <t>Optimal dose of selective serotonin reuptake inhibitors, venlafaxine, and mirtazapine in major depression: a systematic review and dose-response meta-analysis. (Lancet Psychiatry 2019); source_ref=31178367</t>
  </si>
  <si>
    <t>195</t>
  </si>
  <si>
    <t>sertraline [PMID 25911132]</t>
  </si>
  <si>
    <t>Using flexible-dose double-blind RCT data anchored to fluoxetine, the analysis derived a dose equivalence in which fluoxetine 40 mg/day corresponded to sertraline 98.5 mg/day.</t>
  </si>
  <si>
    <t>196</t>
  </si>
  <si>
    <t>sevelamer [PMID 37473746]</t>
  </si>
  <si>
    <t>In a 12-week phase III randomised open-label trial, sevelamer carbonate started at 2.4 g/day with 8-week titration reduced serum phosphorus by a mean of 0.63 mmol/L from baseline (comparable to sucroferric oxyhydroxide), but required a substantially higher pill burden (mean 9.1 vs 3.7 tablets/day d…</t>
  </si>
  <si>
    <t>Efficacy and Safety of Sucroferric Oxyhydroxide Compared with Sevelamer Carbonate in Chinese Dialysis Patients with Hyperphosphataemia: A Randomised, Open-Label, Multicentre, 12-Week Phase III Study. (Nephron 2023); source_ref=37473746</t>
  </si>
  <si>
    <t>197</t>
  </si>
  <si>
    <t>silodosin [PMID 25328864]</t>
  </si>
  <si>
    <t>Across phase 3 double-blind randomised trials, silodosin 8 mg once daily improved International Prostate Symptom Score and maximum urinary flow rate versus placebo and improved both storage and voiding symptoms, with a low incidence of blood-pressure-related adverse events attributed to its alpha-1…</t>
  </si>
  <si>
    <t>Silodosin for the treatment of clinical benign prostatic hyperplasia: safety, efficacy, and patient acceptability. (Research and Reports in Urology 2014); source_ref=25328864</t>
  </si>
  <si>
    <t>198</t>
  </si>
  <si>
    <t>silodosin [PMID 26789541]</t>
  </si>
  <si>
    <t>In a randomised crossover trial, single half-dose silodosin 4 mg once daily produced improvements in IPSS and quality of life similar to full-dose tamsulosin 0.2 mg once daily, with subjective improvement in nocturia observed with silodosin across both treatment periods.</t>
  </si>
  <si>
    <t>Randomized Crossover Comparison of the Short-Term Efficacy and Safety of Single Half-Dose Silodosin and Tamsulosin Hydrochoride in Men With Lower Urinary Tract Symptoms Secondary to Benign Prostatic Hyperplasia. (Lower Urinary Tract Symptoms 2015); source_ref=26789541</t>
  </si>
  <si>
    <t>199</t>
  </si>
  <si>
    <t>simvastatin [PMID 18650507]</t>
  </si>
  <si>
    <t>Among trial participants taking simvastatin 80 mg daily, risk of definite/incipient myopathy was strongly associated with the SLCO1B1 rs4149056 C allele (OR 4.5 per C allele; OR 16.9 for CC vs TT homozygotes), with more than 60% of myopathy cases attributable to the variant; the association was rep…</t>
  </si>
  <si>
    <t>SLCO1B1 variants and statin-induced myopathy--a genomewide study. (N Engl J Med 2008); source_ref=18650507</t>
  </si>
  <si>
    <t>200</t>
  </si>
  <si>
    <t>simvastatin [PMID 17466224]</t>
  </si>
  <si>
    <t>The rate of myopathy and rhabdomyolysis with simvastatin 80 mg, though still low, was about 4 times higher than with atorvastatin 80 mg and with lower statin doses; atorvastatin 80 mg instead showed higher persistent transaminase elevations.</t>
  </si>
  <si>
    <t>Safety of aggressive lipid management. (J Am Coll Cardiol 2007); source_ref=17466224</t>
  </si>
  <si>
    <t>201</t>
  </si>
  <si>
    <t>simvastatin [PMID 19920157]</t>
  </si>
  <si>
    <t>Simvastatin 80 mg daily was associated with a higher incidence of myotoxicity than lower simvastatin doses and than the maximum approved doses of other statins, while low-to-moderate simvastatin doses showed myotoxicity rates similar to other statins; risk rose further with concomitant CYP450 inhib…</t>
  </si>
  <si>
    <t>Does simvastatin cause more myotoxicity compared with other statins? (Ann Pharmacother 2009); source_ref=19920157</t>
  </si>
  <si>
    <t>202</t>
  </si>
  <si>
    <t>sirolimus [PMID 39427366]</t>
  </si>
  <si>
    <t>Population-PK simulation predicted that granule sirolimus dosed at 0.02, 0.04, 0.06, and 0.08 mg/kg/day for ages &lt;3 months, 3-&lt;6 months, 6-&lt;12 months, and &gt;=1 year respectively achieved &gt;70% attainment of the 5-15 ng/mL target trough range; granule exposure was ~1.23-fold higher than tablet, and co…</t>
  </si>
  <si>
    <t>Population pharmacokinetic analysis of sirolimus in Japanese pediatric and adult subjects receiving tablet or granule formulations. (Drug Metab Pharmacokinet 2024); source_ref=39427366</t>
  </si>
  <si>
    <t>203</t>
  </si>
  <si>
    <t>sirolimus [PMID 38635290]</t>
  </si>
  <si>
    <t>In a patient whose sirolimus trough dropped to subtherapeutic levels and stayed low despite dose increases, adding the CYP3A4 inhibitor fluconazole plus a twice-daily dosing interval raised mean trough to 5.85 ng/mL (into the target range) and ultimately allowed a dose reduction, raising the trough…</t>
  </si>
  <si>
    <t>Coadministration of fluconazole to boost subtherapeutic sirolimus concentrations: A case report. (Pharmacol Res Perspect 2024); source_ref=38635290</t>
  </si>
  <si>
    <t>204</t>
  </si>
  <si>
    <t>sirolimus [PMID 31033859]</t>
  </si>
  <si>
    <t>Sirolimus trough concentration/dose normalized by body weight (C0/D) ratios correlated significantly with tacrolimus C0/D ratios in lung transplant patients, suggesting the tacrolimus C0/D ratio can serve as an index for the required sirolimus dosage and monitoring frequency.</t>
  </si>
  <si>
    <t>Estimation of Blood Sirolimus Concentration Based on Tacrolimus Concentration/Dose Normalized by Body Weight Ratio in Lung Transplant Patients. (Ther Drug Monit 2019); source_ref=31033859</t>
  </si>
  <si>
    <t>205</t>
  </si>
  <si>
    <t>sitagliptin [PMID 21928236]</t>
  </si>
  <si>
    <t>Sitagliptin dose recommendations differed in 9% of patients when kidney function was estimated by the MDRD versus Cockcroft-Gault equation; MDRD overestimated the appropriate dose at estimated creatinine clearance below ~50 mL/min and underestimated it above 50, creating potential for excessive sit…</t>
  </si>
  <si>
    <t>Evaluation of Modification of Diet in Renal Disease Study and Cockcroft-Gault equations for sitagliptin dosing. (J Nephrol 2012); source_ref=21928236</t>
  </si>
  <si>
    <t>206</t>
  </si>
  <si>
    <t>sitagliptin [PMID 29231750]</t>
  </si>
  <si>
    <t>Among patients with CKD stage 3b or higher (eGFR &lt;45), 44.9% of sitagliptin initiations were prescribed doses not concordant with label recommendations that require renal dose reduction, versus 0% non-concordance for linagliptin (which needs no adjustment).</t>
  </si>
  <si>
    <t>Concordance with prescribing information dosage recommendations for dipeptidyl-peptidase-4 inhibitors among type 2 diabetes mellitus patients with moderate to severe chronic kidney disease. (Curr Med Res Opin 2018); source_ref=29231750</t>
  </si>
  <si>
    <t>207</t>
  </si>
  <si>
    <t>sitagliptin [PMID 27491279]</t>
  </si>
  <si>
    <t>Among renally-impaired T2DM patients initiated on sitagliptin, 41% were prescribed the high dose that is not recommended given their renal dysfunction, reflecting frequent failure to apply the required renal dose reduction at initiation.</t>
  </si>
  <si>
    <t>Demographic and Clinical Characteristics of Patients With Type 2 Diabetes Mellitus Initiating Dipeptidyl Peptidase 4 Inhibitors: A Retrospective Study of UK General Practice. (Clin Ther 2016); source_ref=27491279</t>
  </si>
  <si>
    <t>208</t>
  </si>
  <si>
    <t>sodium bicarbonate [PMID 36708734]</t>
  </si>
  <si>
    <t>In this phase 3 RCT, oral sodium bicarbonate titrated to 1.5-4.5 g/day (500 mg three times daily if bodyweight &lt;70 kg, 1000 mg three times daily if &gt;=70 kg) over 2 years effectively corrected metabolic acidosis (serum bicarbonate rose from ~21.3 to 23.0 mmol/L) but did not slow the decline in estim…</t>
  </si>
  <si>
    <t>Sodium bicarbonate for kidney transplant recipients with metabolic acidosis in Switzerland: a multicentre, randomised, single-blind, placebo-controlled, phase 3 trial. (Lancet 2023); source_ref=36708734</t>
  </si>
  <si>
    <t>209</t>
  </si>
  <si>
    <t>sodium bicarbonate [PMID 33382448]</t>
  </si>
  <si>
    <t>In a 4-week RCT, oral sodium bicarbonate 3 x 1000 mg/day (approximately 0.5 mEq/kg) raised plasma bicarbonate (20.8 to 23.8 mmol/L) and reduced urinary ammonium excretion, but did not significantly change urinary renin or other renin-angiotensin-system markers; authors noted the bicarbonate dose or…</t>
  </si>
  <si>
    <t>Effect of sodium bicarbonate supplementation on the renin-angiotensin system in patients with chronic kidney disease and acidosis: a randomized clinical trial. (Journal of nephrology 2020); source_ref=33382448</t>
  </si>
  <si>
    <t>210</t>
  </si>
  <si>
    <t>sotalol [PMID 37014289]</t>
  </si>
  <si>
    <t>In this non-randomised multicentre trial, an intravenous sotalol loading dose calculated from the target oral dose (based on baseline QTc and renal function) safely initiated oral therapy and reduced the proportion of patients requiring dose adjustment compared with conventional 5-dose oral loading…</t>
  </si>
  <si>
    <t>Feasibility and Safety of Intravenous Sotalol Loading in Adult Patients With Atrial Fibrillation (DASH-AF). (JACC Clinical Electrophysiology 2023); source_ref=37014289</t>
  </si>
  <si>
    <t>211</t>
  </si>
  <si>
    <t>sotalol [PMID 32849964]</t>
  </si>
  <si>
    <t>Using model-informed simulations, the authors report that in normal renal function five oral doses over 3 days are needed to reach steady-state maximum concentration (and maximum QT prolongation), and developed an IV loading dose followed by oral doses to compress initiation/escalation to 1 day, wi…</t>
  </si>
  <si>
    <t>Model-Informed Development of Sotalol Loading and Dose Escalation Employing an Intravenous Infusion. (Cardiology Research 2020); source_ref=32849964</t>
  </si>
  <si>
    <t>212</t>
  </si>
  <si>
    <t>sotalol [PMID 21812498]</t>
  </si>
  <si>
    <t>This review reports a calculated mean sotalol dose reduction of approximately 29% for elderly versus younger patients and, as a general rule of thumb, suggests a 50% reduction in the starting dose of antiarrhythmic drugs in the elderly (noting dofetilide and dronedarone as exceptions), with sotalol…</t>
  </si>
  <si>
    <t>Is antiarrhythmic treatment in the elderly different? a review of the specific changes. (Drugs &amp; aging 2011); source_ref=21812498</t>
  </si>
  <si>
    <t>213</t>
  </si>
  <si>
    <t>spironolactone [PMID 28700781]</t>
  </si>
  <si>
    <t>In this RCT, high-dose spironolactone 100 mg daily for 96 hours added to usual care did not significantly reduce NT-proBNP versus usual care (placebo or 25 mg daily) and did not improve congestion or clinical secondary endpoints; changes in serum potassium and eGFR were similar between groups, i.e.…</t>
  </si>
  <si>
    <t>Efficacy and Safety of Spironolactone in Acute Heart Failure: The ATHENA-HF Randomized Clinical Trial. (JAMA cardiology 2017); source_ref=28700781</t>
  </si>
  <si>
    <t>214</t>
  </si>
  <si>
    <t>spironolactone [PMID 35900838]</t>
  </si>
  <si>
    <t>In this RCT, concurrent patiromer enabled maintenance of the specified target mineralocorticoid-receptor-antagonist dose (spironolactone or eplerenone 50 mg daily) while attenuating the rise in serum potassium and lowering the risk of hyperkalemia and of MRA dose reduction (HR 0.62 for MRA dose red…</t>
  </si>
  <si>
    <t>Patiromer for the management of hyperkalemia in heart failure with reduced ejection fraction: the DIAMOND trial. (European heart journal 2022); source_ref=35900838</t>
  </si>
  <si>
    <t>215</t>
  </si>
  <si>
    <t>sucroferric oxyhydroxide [PMID 25691681]</t>
  </si>
  <si>
    <t>In a Phase III extension study, sucroferric oxyhydroxide dosed 1.0-3.0 g/day (2-6 tablets/day) maintained serum phosphorus within the KDOQI target range over 52 weeks, with a substantially lower mean daily tablet burden than sevelamer (4.0 vs 10.1 tablets/day).</t>
  </si>
  <si>
    <t>Long-term effects of the iron-based phosphate binder, sucroferric oxyhydroxide, in dialysis patients. (Nephrology, dialysis, transplantation 2015); source_ref=25691681</t>
  </si>
  <si>
    <t>216</t>
  </si>
  <si>
    <t>sucroferric oxyhydroxide [PMID 37473746]</t>
  </si>
  <si>
    <t>In a 12-week Phase III trial, sucroferric oxyhydroxide started at a dose corresponding to 1,500 mg iron/day (with 8-week titration) was non-inferior to sevelamer carbonate for lowering serum phosphorus and reached target phosphorus earlier and with a lower pill burden (mean 3.7 vs 9.1 tablets/day).</t>
  </si>
  <si>
    <t>217</t>
  </si>
  <si>
    <t>sucroferric oxyhydroxide [PMID 36739246]</t>
  </si>
  <si>
    <t>In post-marketing clinical practice, a mean daily dose of about 1.98 pills/day of sucroferric oxyhydroxide was associated with progressive reduction in serum phosphorus (5.69 to 4.84 mg/dL) over 12-36 months, illustrating a low real-world pill burden.</t>
  </si>
  <si>
    <t>Safety and effectiveness of sucroferric oxyhydroxide in Spanish patients on dialysis: sub-analysis of the VERIFIE study. (Nefrologia (Engl Ed) 2023); source_ref=36739246</t>
  </si>
  <si>
    <t>218</t>
  </si>
  <si>
    <t>sulfasalazine [PMID 32107440]</t>
  </si>
  <si>
    <t>Meta-analysis reported that NAT2 slow acetylators had markedly higher odds of dose-related adverse drug reactions on sulfasalazine (OR 5.20, 95% CI 2.44-11.08) and of discontinuation due to overall ADRs (OR 2.89), suggesting NAT2 genotype may inform dosing/monitoring.</t>
  </si>
  <si>
    <t>The association between NAT2 acetylator status and adverse drug reactions of sulfasalazine: a systematic review and meta-analysis. (Scientific Reports 2020); source_ref=32107440</t>
  </si>
  <si>
    <t>219</t>
  </si>
  <si>
    <t>sulfasalazine [PMID 32856298]</t>
  </si>
  <si>
    <t>In a Cochrane review, sulfasalazine was more effective than oral 5-ASA for maintaining remission in quiescent UC (relapse 43% vs 48%; RR for 5-ASA relapse 1.14, 95% CI 1.03-1.27), with little or no difference in common adverse events.</t>
  </si>
  <si>
    <t>Oral 5-aminosalicylic acid for maintenance of remission in ulcerative colitis. (Cochrane Database of Systematic Reviews 2020); source_ref=32856298</t>
  </si>
  <si>
    <t>220</t>
  </si>
  <si>
    <t>sulthiame [PMID 38158595]</t>
  </si>
  <si>
    <t>A TDM study found 16-fold interindividual variability in the sulthiame concentration/(dose/kg) ratio, with children under 6 years showing a significantly lower ratio than older groups, and blood pH proposed as a biochemical marker of toxicity to support individualised dosing.</t>
  </si>
  <si>
    <t>Pharmacokinetic Variability of Sulthiame: The Impact of Age, Drug-Drug Interactions, and Biochemical Markers of Toxicity in Patients with Epilepsy. (Therapeutic Drug Monitoring 2023); source_ref=38158595</t>
  </si>
  <si>
    <t>221</t>
  </si>
  <si>
    <t>sulthiame [PMID 24742983]</t>
  </si>
  <si>
    <t>Sulthiame at 100-275 mg/day dose-dependently increased the N-desmethylclobazam concentration/dose ratio by roughly 83-249%, consistent with CYP2C19 inhibition; monitoring of the metabolite is suggested during co-administration.</t>
  </si>
  <si>
    <t>Interaction between sulthiame and clobazam: sulthiame inhibits the metabolism of clobazam, possibly via an action on CYP2C19. (Epilepsy &amp; Behavior 2014); source_ref=24742983</t>
  </si>
  <si>
    <t>222</t>
  </si>
  <si>
    <t>tacrolimus [PMID 31045868]</t>
  </si>
  <si>
    <t>IATDMCT second consensus report on tacrolimus TDM presents predose trough (C0) concentration targets stratified by organ transplant type and post-transplant phase, and reports a consistent association between CYP3A5 genotype and tacrolimus dose requirement (graded A I), supporting genotype-informed…</t>
  </si>
  <si>
    <t>Therapeutic Drug Monitoring of Tacrolimus-Personalized Therapy: Second Consensus Report. (Therapeutic Drug Monitoring 2019); source_ref=31045868</t>
  </si>
  <si>
    <t>223</t>
  </si>
  <si>
    <t>tacrolimus [PMID 38844792]</t>
  </si>
  <si>
    <t>Review reports that adjusting tacrolimus dose on trough (C0) alone can misclassify exposure: patients with a low C0/dose ratio may have unexpectedly high peak concentrations and AUC (toxicity risk, poorer graft survival), while patients needing only a very low dose to reach target C0 may be underex…</t>
  </si>
  <si>
    <t>Therapeutic drug monitoring of tacrolimus after kidney transplantation: trough concentration or area under curve-based monitoring? (British Journal of Clinical Pharmacology 2024); source_ref=38844792</t>
  </si>
  <si>
    <t>224</t>
  </si>
  <si>
    <t>telmisartan [PMID 20197015]</t>
  </si>
  <si>
    <t>Switching from high-dose ARBs to normal-dose telmisartan 40 mg plus low-dose hydrochlorothiazide 12.5 mg once daily lowered mean systolic BP from 153 to 133 mmHg and reduced creatinine-adjusted urinary protein (3749 to 2474 mg/g) over 12 weeks, without significant change in eGFR or serum creatinine.</t>
  </si>
  <si>
    <t>Blood pressure-lowering and antiproteinuric effect of switching from high-dose angiotensin receptor blockers to normal-dose telmisartan and low-dose hydrochlorothiazide in hypertensive patients with chronic kidney disease. (International Journal of Clinical Pharmacology and Therapeutics 2010); source_ref=20197015</t>
  </si>
  <si>
    <t>225</t>
  </si>
  <si>
    <t>telmisartan [PMID 24959463]</t>
  </si>
  <si>
    <t>Telmisartan started at 40 mg once daily and titrated to 80 mg once daily to keep mean arterial pressure 90-115 mmHg over 24 weeks significantly reduced blood pressure without significant change in blood urea, serum creatinine, or creatinine clearance.</t>
  </si>
  <si>
    <t>Study of Changes in Renal Function by Perindopril and Telmisartan during Treatment of Systemic Hypertension. (Journal of Clinical and Diagnostic Research 2014); source_ref=24959463</t>
  </si>
  <si>
    <t>226</t>
  </si>
  <si>
    <t>tenofovir disoproxil [PMID 33318014]</t>
  </si>
  <si>
    <t>Population PK modelling found tenofovir apparent clearance was ~28% higher in pregnancy than postpartum (driven by greater weight and enhanced renal function), but concluded routine dose adjustment of TDF during pregnancy is not generally warranted; any modification should be based on weight and re…</t>
  </si>
  <si>
    <t>Population Pharmacokinetics of Tenofovir in Pregnant and Postpartum Women Using Tenofovir Disoproxil Fumarate. (Antimicrobial Agents and Chemotherapy 2021); source_ref=33318014</t>
  </si>
  <si>
    <t>227</t>
  </si>
  <si>
    <t>tenofovir disoproxil [PMID 30619939]</t>
  </si>
  <si>
    <t>Over a median 5-year follow-up, creatinine clearance fell significantly (median 59 to 51 mL/min), necessitating tenofovir disoproxil fumarate dose reduction in 6 of 18 patients (33%), with 2 ceasing TDF — illustrating frequent renal-function-driven dose adjustment in the post-transplant setting.</t>
  </si>
  <si>
    <t>Long-term safety and efficacy of tenofovir disoproxil fumarate substitution for hepatitis B immunoglobulin following liver transplantation. (JGH Open 2018); source_ref=30619939</t>
  </si>
  <si>
    <t>228</t>
  </si>
  <si>
    <t>tenofovir disoproxil [PMID 25890673]</t>
  </si>
  <si>
    <t>In head-to-head phase 3 trials, tenofovir disoproxil fumarate 300 mg once daily (coformulated with elvitegravir/cobicistat/emtricitabine) produced significantly larger increases in serum creatinine, more proteinuria, and greater declines in hip and spine bone mineral density at 48 weeks than the 10…</t>
  </si>
  <si>
    <t>Tenofovir alafenamide versus tenofovir disoproxil fumarate, coformulated with elvitegravir, cobicistat, and emtricitabine, for initial treatment of HIV-1 infection: two randomised, double-blind, phase 3, non-inferiority trials. (Lancet 2015); source_ref=25890673</t>
  </si>
  <si>
    <t>229</t>
  </si>
  <si>
    <t>deutetrabenazine (deuterated tetrabenazine analogue) [PMID 34511333]</t>
  </si>
  <si>
    <t>Deutetrabenazine was initiated at 12 mg/day and titrated once weekly in 6 mg/day increments using a response-driven regimen until adequate dyskinesia control or a significant adverse event; over 3 years mean maintenance dose was approximately 39.5 mg/day in both age groups, with sustained AIMS impr…</t>
  </si>
  <si>
    <t>Long-Term Safety and Efficacy of Deutetrabenazine in Younger and Older Patients With Tardive Dyskinesia. (The American journal of geriatric psychiatry : official journal of the American Association for Geriatric Psychiatry 2021); source_ref=34511333</t>
  </si>
  <si>
    <t>230</t>
  </si>
  <si>
    <t>deutetrabenazine extended-release (deuterated tetrabenazine analogue) [PMID 38982802]</t>
  </si>
  <si>
    <t>Review reports the once-daily deutetrabenazine ER formulation is bioequivalent and dose-proportional to the twice-daily formulation, supporting the same titration recommendations, with once-daily dosing potentially improving adherence; no new safety signals identified.</t>
  </si>
  <si>
    <t>Profiling deutetrabenazine extended-release tablets for tardive dyskinesia and chorea associated with Huntington's disease. (Expert review of neurotherapeutics 2024); source_ref=38982802</t>
  </si>
  <si>
    <t>231</t>
  </si>
  <si>
    <t>theophylline [PMID 41159830]</t>
  </si>
  <si>
    <t>Among 24 monitored drugs, theophylline had one of the highest proportions of TDM consultations (59%, after vancomycin and digoxin), and model-informed TDM consultation was generally associated with higher pharmacokinetic target attainment; renal impairment, higher BMI, and older age were linked to …</t>
  </si>
  <si>
    <t>232</t>
  </si>
  <si>
    <t>thiamine [PMID 27623120]</t>
  </si>
  <si>
    <t>Systematic review recommends, for suspected or confirmed WE, high-dose IV thiamine 500 mg three times daily for 3-5 days followed by 250 mg IV daily for a minimum of 3-5 further days; high-risk prophylaxis is parenteral 250 mg daily for 3-5 days.</t>
  </si>
  <si>
    <t>[Wernicke encephalopathy: Guiding thiamine prescription]. (L'Encephale 2016); source_ref=27623120</t>
  </si>
  <si>
    <t>233</t>
  </si>
  <si>
    <t>thiamine [PMID 28064230]</t>
  </si>
  <si>
    <t>Patients treated with &gt;=500 mg IV thiamine for a median of 3 days showed symptom resolution or improvement in 73% (8/11); high-dose thiamine appeared safe and efficacious, with no correlation found between symptom resolution and timing of high-dose initiation.</t>
  </si>
  <si>
    <t>High-dose Parenteral Thiamine in Treatment of Wernicke's Encephalopathy: Case Series and Review of the Literature. (In vivo (Athens, Greece) 2017); source_ref=28064230</t>
  </si>
  <si>
    <t>234</t>
  </si>
  <si>
    <t>thiamine [PMID 29482863]</t>
  </si>
  <si>
    <t>High-dose IV thiamine (defined as &gt;=200 mg twice daily) was administered to only 20% of encephalopathy patients receiving IV thiamine and was associated with decreased in-hospital mortality on bivariable analysis, though the association did not reach significance in multivariable models (p=0.061); …</t>
  </si>
  <si>
    <t>Clinical Characteristics and Outcomes Associated With High-Dose Intravenous Thiamine Administration in Patients With Encephalopathy. (Psychosomatics 2018); source_ref=29482863</t>
  </si>
  <si>
    <t>235</t>
  </si>
  <si>
    <t>tiagabine [PMID 11564122]</t>
  </si>
  <si>
    <t>This review classifies tiagabine among antiepileptic drugs that must be introduced by gradual slow dose titration (rather than started at the effective maintenance dose), because introducing it at usual maintenance doses produces severe adverse effects that slow titration largely avoids.</t>
  </si>
  <si>
    <t>Concerns with antiepileptic drug initiation: safety, tolerability, and efficacy. (Epilepsia 2001); source_ref=11564122</t>
  </si>
  <si>
    <t>236</t>
  </si>
  <si>
    <t>ticagrelor [PMID 30689800]</t>
  </si>
  <si>
    <t>In the ELECTRA randomized pharmacodynamic study, a reduced ticagrelor maintenance dose of 60 mg twice daily started 1 month after AMI produced platelet inhibition (VASP, Multiplate) comparable to the standard 90 mg twice daily, with proportionally lower plasma drug and active-metabolite concentrati…</t>
  </si>
  <si>
    <t>Platelet inhibition with standard vs. lower maintenance dose of ticagrelor early after myocardial infarction (ELECTRA): a randomized, open-label, active-controlled pharmacodynamic and pharmacokinetic study. (European heart journal. Cardiovascular pharmacotherapy 2019); source_ref=30689800</t>
  </si>
  <si>
    <t>237</t>
  </si>
  <si>
    <t>ticagrelor [PMID 37726368]</t>
  </si>
  <si>
    <t>In this Korean multicenter cohort, switching from standard-dose (180 mg/day) to low-dose ticagrelor (120 mg/day) within 6 months after PCI for complex lesions was associated with no significant difference in major adverse cardiovascular events, bleeding, or net adverse clinical events.</t>
  </si>
  <si>
    <t>Influence of early dose reduction of ticagrelor on clinical outcomes following percutaneous coronary intervention for complex lesions. (Scientific reports 2023); source_ref=37726368</t>
  </si>
  <si>
    <t>238</t>
  </si>
  <si>
    <t>timolol [PMID 35513899]</t>
  </si>
  <si>
    <t>In a randomized trial of a fixed combination of bimatoprost 0.01% / brimonidine 0.15% / timolol maleate 0.5%, once-daily dosing produced a greater reduction in peak intraocular pressure (water-drinking test) than twice-daily dosing over 3 months (30.5% vs 21.5% peak reduction).</t>
  </si>
  <si>
    <t>Intraocular Peak Pressure in Patients Under Treatment With Fixed Combination of Bimatoprost/Timolol/Brimonidine Once Daily Versus Twice Daily. (Journal of glaucoma 2022); source_ref=35513899</t>
  </si>
  <si>
    <t>239</t>
  </si>
  <si>
    <t>tobramycin [PMID 35481751]</t>
  </si>
  <si>
    <t>Retrospective population-PK modelling with Monte Carlo simulation found that extended-interval (once-daily) tobramycin regimens of 10-15 mg/kg/day were assessed for target attainment in children under 5 years with CF, addressing a group where extended-interval data had been limited.</t>
  </si>
  <si>
    <t>A Pharmacokinetic Analysis of Tobramycin in Patients Less than Five Years of Age with Cystic Fibrosis: Assessment of Target Attainment with Extended-Interval Dosing through Simulation. (Antimicrob Agents Chemother 2022); source_ref=35481751</t>
  </si>
  <si>
    <t>240</t>
  </si>
  <si>
    <t>tobramycin [PMID 36600520]</t>
  </si>
  <si>
    <t>A multinational survey of CF centres in USA/Canada, UK/Ireland and Australia/New Zealand documented variation in tobramycin dosing, infusion and therapeutic-drug-monitoring practices, reporting a lack of a consistent multinational consensus on how tobramycin is prescribed and monitored.</t>
  </si>
  <si>
    <t>Is there a multinational consensus of tobramycin prescribing and monitoring for cystic fibrosis? Survey of current therapeutic drug monitoring practices in USA/Canada, UK/Ireland, and Australia/New Zealand. (Eur J Hosp Pharm 2024); source_ref=36600520</t>
  </si>
  <si>
    <t>241</t>
  </si>
  <si>
    <t>topiramate [PMID 23797676]</t>
  </si>
  <si>
    <t>A Cochrane meta-analysis reported that topiramate 100 mg/day reduced headache frequency and roughly doubled the responder proportion versus placebo, and that 200 mg/day was no more effective than 100 mg/day while carrying more adverse events.</t>
  </si>
  <si>
    <t>Topiramate for the prophylaxis of episodic migraine in adults. (Cochrane Database Syst Rev 2013); source_ref=23797676</t>
  </si>
  <si>
    <t>242</t>
  </si>
  <si>
    <t>topiramate [PMID 24566461]</t>
  </si>
  <si>
    <t>A review of paediatric migraine studies reported reductions in headache frequency at topiramate 100 mg/day and 200 mg/day (approximately 1.47-2.0 mg/kg/day), with 100 mg/day described as offering the optimal benefit-to-risk ratio.</t>
  </si>
  <si>
    <t>Topiramate for migraine prophylaxis in pediatric patients. (Ann Pharmacother 2014); source_ref=24566461</t>
  </si>
  <si>
    <t>243</t>
  </si>
  <si>
    <t>topiramate [PMID 22348915]</t>
  </si>
  <si>
    <t>A review of the controlled-release phentermine/topiramate combination reported that the full-dose formulation (15 mg phentermine hydrochloride with 92 mg topiramate) promoted weight reduction with improvement in metabolic consequences of obesity.</t>
  </si>
  <si>
    <t>Phentermine/topiramate for weight reduction and treatment of adverse metabolic consequences in obesity. (Drugs Today (Barc) 2011); source_ref=22348915</t>
  </si>
  <si>
    <t>244</t>
  </si>
  <si>
    <t>trandolapril [PMID 12852701]</t>
  </si>
  <si>
    <t>A pharmacology review reported that trandolapril has a sufficient duration of plasma ACE inhibition to allow once-daily dosing, and that trandolapril 1 to 4 mg/day was statistically indistinguishable from or superior to comparator antihypertensives (e.g. captopril, enalapril, hydrochlorothiazide, n…</t>
  </si>
  <si>
    <t>Trandolapril: a newer angiotensin-converting enzyme inhibitor. (Clin Ther 2003); source_ref=12852701</t>
  </si>
  <si>
    <t>245</t>
  </si>
  <si>
    <t>trimethoprim [PMID 40899995]</t>
  </si>
  <si>
    <t>In a population-PK/Monte Carlo study of IV trimethoprim-sulfamethoxazole, creatinine clearance significantly correlated with TMP and SMX PK parameters; co-trimoxazole 50 mg/kg/day in three divided daily doses was modelled as feasible for patients with CrCL &lt;15 mL/min, whereas the guideline-recommen…</t>
  </si>
  <si>
    <t>Population pharmacokinetics and Monte Carlo-based dosing optimization of trimethoprim-sulfamethoxazole. (Antimicrob Agents Chemother 2025); source_ref=40899995</t>
  </si>
  <si>
    <t>246</t>
  </si>
  <si>
    <t>trimethoprim [PMID 37489071]</t>
  </si>
  <si>
    <t>In a critically ill COVID-19 patient with acute renal failure on RCA-CVVH, a renal dose reduction to TMP-SMX 320/1,600 mg twice daily (per Dutch guidelines) produced sub-therapeutic plasma concentrations, whereas PK-guided dose adjustment upward to 640/3,200 mg three times daily achieved steady-sta…</t>
  </si>
  <si>
    <t>Sub-therapeutic trimethoprim and sulfamethoxazole plasma concentrations during continuous venovenous hemofiltration in a patient with COVID-19 and pulmonary co-infection: A case report. (Int J Clin Pharmacol Ther 2023); source_ref=37489071</t>
  </si>
  <si>
    <t>247</t>
  </si>
  <si>
    <t>trimethoprim [PMID 26935365]</t>
  </si>
  <si>
    <t>Among adults receiving low-dose TMP-SMX as PJP prophylaxis, hyperkalemia (serum potassium &gt;=5 mEq/L) occurred in 17.2% (median 12 days to peak); renal insufficiency (eGFR &lt;60) was the major independent risk factor (adjusted OR 4.62), and among those with renal insufficiency concomitant ACEi/ARB use…</t>
  </si>
  <si>
    <t>Renal Insufficiency in Concert with Renin-angiotensin-aldosterone Inhibition Is a Major Risk Factor for Hyperkalemia Associated with Low-dose Trimethoprim-sulfamethoxazole in Adults. (Intern Med 2016); source_ref=26935365</t>
  </si>
  <si>
    <t>248</t>
  </si>
  <si>
    <t>valproate [PMID 34776507]</t>
  </si>
  <si>
    <t>Of 109 epilepsy patients on sodium valproate tablets, 51.4% were within the 50-100 microg/mL effective range and 48.6% fell outside it; standard-reaching rates were lower in low- and intermediate-dose groups than the high-dose group, and concomitant carbapenems or enzyme inducers were independent r…</t>
  </si>
  <si>
    <t>Factors Influencing Sodium Valproate Serum Concentrations in Patients with Epilepsy Based on Logistic Regression Analysis. (Med Sci Monit 2021); source_ref=34776507</t>
  </si>
  <si>
    <t>249</t>
  </si>
  <si>
    <t>valproate [PMID 30185446]</t>
  </si>
  <si>
    <t>In a prospective cohort tracking AED clearance through pregnancy (valproate n=5 pregnancies among the studied drugs), a lower ratio-to-target concentration was associated with increased seizure frequency in monotherapy women, supporting early therapeutic drug monitoring and dose adjustment to avoid…</t>
  </si>
  <si>
    <t>Antiepileptic drug clearances during pregnancy and clinical implications for women with epilepsy. (Neurology 2018); source_ref=30185446</t>
  </si>
  <si>
    <t>250</t>
  </si>
  <si>
    <t>valsartan [PMID 34612065]</t>
  </si>
  <si>
    <t>In RAASi-naive veterans with HFrEF, at 6-month follow-up only 23.5% of sacubitril/valsartan initiators had reached &gt;=50% of the target daily dose, compared with 43.2% for ACEI and 47.1% for ARB initiators, indicating markedly lower up-titration attainment for the valsartan-containing ARNI.</t>
  </si>
  <si>
    <t>Sacubitril/Valsartan Initiation Among Veterans Who Are Renin-Angiotensin-Aldosterone System Inhibitor Naive With Heart Failure and Reduced Ejection Fraction. (J Am Heart Assoc 2021); source_ref=34612065</t>
  </si>
  <si>
    <t>251</t>
  </si>
  <si>
    <t>valsartan [PMID 35702942]</t>
  </si>
  <si>
    <t>In 95 chronic HFrEF patients, the maximum sacubitril/valsartan dose was tolerated by a minority; independent predictors of high-dose tolerability were baseline tolerance of maximum-dose ACEi/ARB, younger age, higher systolic blood pressure, and higher TAPSE, and the authors suggest patients with RV…</t>
  </si>
  <si>
    <t>Predictors of sacubitril/valsartan high dose tolerability in a real world population with HFrEF. (ESC Heart Fail 2022); source_ref=35702942</t>
  </si>
  <si>
    <t>252</t>
  </si>
  <si>
    <t>venlafaxine [PMID 28397349]</t>
  </si>
  <si>
    <t>In 1077 TDM samples (median daily dose 225 mg), dose-corrected plasma concentrations of venlafaxine and its metabolite O-desmethylvenlafaxine were increased to a clinically significant degree in patients over age 64, leading the authors to observe that venlafaxine initiation in the elderly warrants…</t>
  </si>
  <si>
    <t>Therapeutic Drug Monitoring of Venlafaxine in an Everyday Clinical Setting: Analysis of Age, Sex and Dose Concentration Relationships. (Basic &amp; clinical pharmacology &amp; toxicology 2017); source_ref=28397349</t>
  </si>
  <si>
    <t>253</t>
  </si>
  <si>
    <t>venlafaxine [DOI 10.1007/164_2018_164]</t>
  </si>
  <si>
    <t>The review reports venlafaxine has an ascending dose-response curve, with dose-dependent blood pressure elevation attributed to noradrenergic reuptake inhibition at higher doses; this blood-pressure effect was described as infrequently observed at doses below 225 mg/day.</t>
  </si>
  <si>
    <t>Serotonin and Norepinephrine Reuptake Inhibitors. (Handbook of experimental pharmacology 2019); source_ref=10.1007/164_2018_164</t>
  </si>
  <si>
    <t>254</t>
  </si>
  <si>
    <t>vigabatrin [PMID 30639958]</t>
  </si>
  <si>
    <t>Using PK modelling of the active S(+) enantiomer, doses of 40-50 mg/kg/day in children aged 3 months to 18 years were estimated to give vigabatrin-S exposures similar to effective adult doses (2-3 g/day), proposed as optimal maintenance doses given the cumulative-dose association with retinal toxic…</t>
  </si>
  <si>
    <t>Pharmacokinetic evaluation of vigabatrin dose for the treatment of refractory focal seizures in children using adult and pediatric data. (Epilepsy research 2019); source_ref=30639958</t>
  </si>
  <si>
    <t>255</t>
  </si>
  <si>
    <t>vildagliptin [DOI 10.2147/DMSO.S28951]</t>
  </si>
  <si>
    <t>The review reports that in patients with type 2 diabetes and moderate (eGFR &gt;=30 to &lt;=50 mL/min) or severe (eGFR &lt;30 mL/min) chronic kidney disease, the vildagliptin dose had to be reduced by half, to 50 mg once daily, with a favourable efficacy, safety and tolerability profile in this population.</t>
  </si>
  <si>
    <t>Managing diabetic patients with moderate or severe renal impairment using DPP-4 inhibitors: focus on vildagliptin. (Diabetes, metabolic syndrome and obesity : targets and therapy 2013); source_ref=10.2147/DMSO.S28951</t>
  </si>
  <si>
    <t>256</t>
  </si>
  <si>
    <t>vildagliptin [DOI 10.2165/11598080-000000000-00000]</t>
  </si>
  <si>
    <t>The review reports that vildagliptin reduces fasting and postprandial glucose over the 50-100 mg/day range with no substantial additional benefit above 50 mg twice daily (the primary dosing regimen), and that exposure increases roughly 2-fold in renal impairment without correlating with severity be…</t>
  </si>
  <si>
    <t>Clinical pharmacokinetics and pharmacodynamics of vildagliptin. (Clinical pharmacokinetics 2012); source_ref=10.2165/11598080-000000000-00000</t>
  </si>
  <si>
    <t>257</t>
  </si>
  <si>
    <t>zonisamide [PMID 35157004]</t>
  </si>
  <si>
    <t>Dose-normalized plasma zonisamide concentration fell by 29.8% during pregnancy (40.12 to 28.15 ug/L/mg) versus postpartum, declining progressively by gestational week, suggesting increasing doses may be needed and that therapeutic drug monitoring should begin early in pregnancy.</t>
  </si>
  <si>
    <t>258</t>
  </si>
  <si>
    <t>zonisamide [PMID 31912315]</t>
  </si>
  <si>
    <t>Zonisamide clearance increased and serum concentrations decreased during pregnancy; the review advised considering monitoring of zonisamide during and after pregnancy and adjusting dose when concentration deviates &gt;25% (or 15-25% with convulsion risk factors) from a pre-pregnancy reference concentr…</t>
  </si>
  <si>
    <t>Therapeutic Drug Monitoring of Antiepileptic Drugs in Women with Epilepsy Before, During, and After Pregnancy. (Clinical Pharmacokinetics 2020); source_ref=31912315</t>
  </si>
  <si>
    <t>259</t>
  </si>
  <si>
    <t>zonisamide [PMID 20509031]</t>
  </si>
  <si>
    <t>Zonisamide was initiated at 25 mg/day and titrated up to 200 mg/day as tolerated, with marked reduction in impulsive-behaviour severity and only marginal UPDRS change; generally well tolerated.</t>
  </si>
  <si>
    <t>Zonisamide in managing impulse control disorders in Parkinson's disease. (Journal of Neurology 2010); source_ref=20509031</t>
  </si>
  <si>
    <t>260</t>
  </si>
  <si>
    <t>dose_evidence_review_queue</t>
  </si>
  <si>
    <t>amoxicillin (community-acquired pneumonia — short-co…)</t>
  </si>
  <si>
    <t>APF22 Section D carries an adult common-dosage range for amoxicillin in respiratory infection | status=awaiting_reverification; reason=attempted short-course-CAP primary citation did not resolve to that paper on live PubMed check; no faithful PMID/DOI se…</t>
  </si>
  <si>
    <t>apf_reference=apf22</t>
  </si>
  <si>
    <t>Queue entry valid; awaiting elevation (path1 re-verify / path2 clinician-APF); NOT a dose source</t>
  </si>
  <si>
    <t>Held, engine-ISOLATED</t>
  </si>
  <si>
    <t>261</t>
  </si>
  <si>
    <t>colchicine (acute gout — paediatric dosing)</t>
  </si>
  <si>
    <t>APF22 Section D colchicine monograph carries a paediatric dose | status=awaiting_clinician_attestation; reason=no faithful paediatric primary citation secured; paediatric dosing is out of engine scope regardless</t>
  </si>
  <si>
    <t>262</t>
  </si>
  <si>
    <t>Tier 4 — Reference fact</t>
  </si>
  <si>
    <t>pregnancy_risk</t>
  </si>
  <si>
    <t>isotretinoin (drug)</t>
  </si>
  <si>
    <t>TGA category X — CONTRAINDICATED; potent teratogen; pregnancy prevention program with effective contraception mandatory</t>
  </si>
  <si>
    <t>source_ref=tga-pregnancy (TGA categories are facts)</t>
  </si>
  <si>
    <t>TGA pregnancy category + guidance correct</t>
  </si>
  <si>
    <t>Reference-only (pregnancy_check NOT wired)</t>
  </si>
  <si>
    <t>263</t>
  </si>
  <si>
    <t>acitretin (drug)</t>
  </si>
  <si>
    <t>TGA category X — CONTRAINDICATED; teratogen; pregnancy must be avoided for a prolonged period after cessation</t>
  </si>
  <si>
    <t>264</t>
  </si>
  <si>
    <t>thalidomide (drug)</t>
  </si>
  <si>
    <t>TGA category X — CONTRAINDICATED; severe teratogen; strict pregnancy prevention</t>
  </si>
  <si>
    <t>265</t>
  </si>
  <si>
    <t>misoprostol (drug)</t>
  </si>
  <si>
    <t>TGA category X; abortifacient; contraindicated in pregnancy outside sanctioned obstetric use</t>
  </si>
  <si>
    <t>266</t>
  </si>
  <si>
    <t>warfarin (drug)</t>
  </si>
  <si>
    <t>TGA category D; embryopathy and fetal haemorrhage; avoid — recognised exception is selected mechanical-heart-valve patients under specialist care</t>
  </si>
  <si>
    <t>267</t>
  </si>
  <si>
    <t>sodium valproate (drug)</t>
  </si>
  <si>
    <t>TGA category D; high teratogenic and neurodevelopmental risk; avoid in women of childbearing potential unless no effective alternative, under specialist ca…</t>
  </si>
  <si>
    <t>268</t>
  </si>
  <si>
    <t>carbamazepine (drug)</t>
  </si>
  <si>
    <t>TGA category D; neural tube and other malformation risk</t>
  </si>
  <si>
    <t>269</t>
  </si>
  <si>
    <t>phenytoin (drug)</t>
  </si>
  <si>
    <t>TGA category D; fetal hydantoin syndrome risk</t>
  </si>
  <si>
    <t>270</t>
  </si>
  <si>
    <t>lithium (drug)</t>
  </si>
  <si>
    <t>TGA category D [first]; cardiac malformation (Ebstein anomaly) risk first trimester; specialist management</t>
  </si>
  <si>
    <t>271</t>
  </si>
  <si>
    <t>methotrexate (drug)</t>
  </si>
  <si>
    <t>TGA category D — CONTRAINDICATED; abortifacient and teratogen; contraindicated for non-oncological use in pregnancy</t>
  </si>
  <si>
    <t>272</t>
  </si>
  <si>
    <t>ACE inhibitors (drug_class)</t>
  </si>
  <si>
    <t>TGA category D [second/third]; fetal renal toxicity, oligohydramnios, skull hypoplasia; avoid throughout pregnancy</t>
  </si>
  <si>
    <t>273</t>
  </si>
  <si>
    <t>angiotensin receptor blockers (drug_class)</t>
  </si>
  <si>
    <t>TGA category D [second/third]; same fetotoxicity as ACE inhibitors; avoid throughout pregnancy</t>
  </si>
  <si>
    <t>274</t>
  </si>
  <si>
    <t>HMG-CoA reductase inhibitors (statins) (drug_class)</t>
  </si>
  <si>
    <t>TGA category D; avoid in pregnancy</t>
  </si>
  <si>
    <t>275</t>
  </si>
  <si>
    <t>tetracyclines (drug_class)</t>
  </si>
  <si>
    <t>TGA category D [second/third]; fetal dental staining and effects on bone; avoid from the second trimester</t>
  </si>
  <si>
    <t>276</t>
  </si>
  <si>
    <t>doxycycline (drug)</t>
  </si>
  <si>
    <t>TGA category D [second/third]; tetracycline-class effects on fetal teeth and bone</t>
  </si>
  <si>
    <t>277</t>
  </si>
  <si>
    <t>paracetamol (drug)</t>
  </si>
  <si>
    <t>TGA category A; considered safe at recommended use</t>
  </si>
  <si>
    <t>278</t>
  </si>
  <si>
    <t>amoxicillin (drug)</t>
  </si>
  <si>
    <t>TGA category A; considered safe in pregnancy</t>
  </si>
  <si>
    <t>279</t>
  </si>
  <si>
    <t>folic acid (drug)</t>
  </si>
  <si>
    <t>TGA category A; recommended periconceptionally to reduce neural tube defect risk</t>
  </si>
  <si>
    <t>280</t>
  </si>
  <si>
    <t>hepatic</t>
  </si>
  <si>
    <t>atorvastatin</t>
  </si>
  <si>
    <t>hepatic_contraindicated; active liver disease or unexplained persistent transaminase elevation</t>
  </si>
  <si>
    <t>source_ref=self-authored</t>
  </si>
  <si>
    <t>Hepatic caution/contraindication correct</t>
  </si>
  <si>
    <t>Reference-only (hepatic_check NOT wired)</t>
  </si>
  <si>
    <t>281</t>
  </si>
  <si>
    <t>simvastatin</t>
  </si>
  <si>
    <t>282</t>
  </si>
  <si>
    <t>apixaban</t>
  </si>
  <si>
    <t>hepatic_caution (Child-Pugh C); not recommended in severe hepatic impairment (coagulopathy/bleeding risk)</t>
  </si>
  <si>
    <t>283</t>
  </si>
  <si>
    <t>rivaroxaban</t>
  </si>
  <si>
    <t>hepatic_contraindicated (Child-Pugh B); contraindicated in hepatic disease with coagulopathy and clinically relevant bleeding risk (Child-Pugh B and C)</t>
  </si>
  <si>
    <t>284</t>
  </si>
  <si>
    <t>dabigatran</t>
  </si>
  <si>
    <t>hepatic_contraindicated; contraindicated if liver enzymes greater than 2x ULN or hepatic impairment expected to affect survival</t>
  </si>
  <si>
    <t>285</t>
  </si>
  <si>
    <t>methotrexate</t>
  </si>
  <si>
    <t>hepatic_caution; hepatotoxic; avoid in significant liver disease</t>
  </si>
  <si>
    <t>286</t>
  </si>
  <si>
    <t>sodium valproate</t>
  </si>
  <si>
    <t>hepatic_contraindicated; active hepatic dysfunction; serious hepatotoxicity risk</t>
  </si>
  <si>
    <t>287</t>
  </si>
  <si>
    <t>amiodarone</t>
  </si>
  <si>
    <t>hepatic_caution; hepatotoxic; caution in pre-existing liver disease</t>
  </si>
  <si>
    <t>288</t>
  </si>
  <si>
    <t>paracetamol</t>
  </si>
  <si>
    <t>hepatic_caution; caution in severe hepatic impairment and chronic alcohol use; hepatotoxicity risk (no dose asserted here)</t>
  </si>
  <si>
    <t>289</t>
  </si>
  <si>
    <t>ketoconazole</t>
  </si>
  <si>
    <t>hepatic_contraindicated; oral ketoconazole hepatotoxicity; contraindicated in acute or chronic liver disease</t>
  </si>
  <si>
    <t>290</t>
  </si>
  <si>
    <t>pioglitazone</t>
  </si>
  <si>
    <t>hepatic_contraindicated; active liver disease or ALT greater than 2.5x ULN</t>
  </si>
  <si>
    <t>291</t>
  </si>
  <si>
    <t>nitrofurantoin</t>
  </si>
  <si>
    <t>hepatic_caution; risk of cholestatic hepatitis and hepatocellular injury</t>
  </si>
  <si>
    <t>292</t>
  </si>
  <si>
    <t>ibuprofen</t>
  </si>
  <si>
    <t>hepatic_caution; avoid in significant hepatic impairment (fluid retention, GI bleeding, hepatorenal risk)</t>
  </si>
  <si>
    <t>293</t>
  </si>
  <si>
    <t>tdm_parameters</t>
  </si>
  <si>
    <t>vancomycin</t>
  </si>
  <si>
    <t>range 15-20 mg/L; sample=trough; AUC-guided dosing increasingly preferred over trough alone</t>
  </si>
  <si>
    <t>source_ref=apf22 (concentration target, NOT a dose)</t>
  </si>
  <si>
    <t>TDM range/timing/units correct</t>
  </si>
  <si>
    <t>Reference-only, engine-isolated</t>
  </si>
  <si>
    <t>294</t>
  </si>
  <si>
    <t>phenytoin</t>
  </si>
  <si>
    <t xml:space="preserve">range 10-20 mg/L; sample=trough; </t>
  </si>
  <si>
    <t>295</t>
  </si>
  <si>
    <t>gentamicin</t>
  </si>
  <si>
    <t xml:space="preserve">range ?-? ; sample=trough; </t>
  </si>
  <si>
    <t>296</t>
  </si>
  <si>
    <t>administration_handling</t>
  </si>
  <si>
    <t>morphine (modified-release tablet)</t>
  </si>
  <si>
    <t>can_crush=do_not_crush; can_disperse=not_dispersible; crushing destroys the modified-release matrix, causing dose dumping and overdose risk</t>
  </si>
  <si>
    <t>source_ref=apf22</t>
  </si>
  <si>
    <t>Crush/disperse/split status correct per APF/product info</t>
  </si>
  <si>
    <t>Reference-only (no dose)</t>
  </si>
  <si>
    <t>297</t>
  </si>
  <si>
    <t>oxycodone (modified-release tablet)</t>
  </si>
  <si>
    <t>can_crush=do_not_crush; can_disperse=not_dispersible; modified-release matrix; crushing causes dose dumping</t>
  </si>
  <si>
    <t>298</t>
  </si>
  <si>
    <t>nifedipine (modified-release tablet)</t>
  </si>
  <si>
    <t>can_crush=do_not_crush; controlled-release; crushing causes rapid absorption and hypotension</t>
  </si>
  <si>
    <t>299</t>
  </si>
  <si>
    <t>tamsulosin (modified-release capsule)</t>
  </si>
  <si>
    <t>can_crush=do_not_crush; modified-release; crushing alters absorption</t>
  </si>
  <si>
    <t>300</t>
  </si>
  <si>
    <t>counselling_points</t>
  </si>
  <si>
    <t>amoxicillin</t>
  </si>
  <si>
    <t>Complete the full course even if you feel better</t>
  </si>
  <si>
    <t>source_ref=apf22; category=duration</t>
  </si>
  <si>
    <t>Counselling message accurate + appropriate</t>
  </si>
  <si>
    <t>Reference-only</t>
  </si>
  <si>
    <t>301</t>
  </si>
  <si>
    <t>alendronate</t>
  </si>
  <si>
    <t>Take on an empty stomach with a full glass of water and stay upright for at least 30 minutes</t>
  </si>
  <si>
    <t>source_ref=apf22; category=administration</t>
  </si>
  <si>
    <t>302</t>
  </si>
  <si>
    <t>metformin</t>
  </si>
  <si>
    <t>Take with or after food to reduce stomach upset</t>
  </si>
  <si>
    <t>303</t>
  </si>
  <si>
    <t>warfarin</t>
  </si>
  <si>
    <t>Keep your vitamin K intake consistent and report any unusual bleeding or bruising</t>
  </si>
  <si>
    <t>source_ref=apf22; category=safety_netting</t>
  </si>
  <si>
    <t>304</t>
  </si>
  <si>
    <t>salbutamol</t>
  </si>
  <si>
    <t>Seek medical advice if you need your reliever more often than usual</t>
  </si>
  <si>
    <t>305</t>
  </si>
  <si>
    <t>Report unexplained muscle pain, tenderness or weakness</t>
  </si>
  <si>
    <t>source_ref=apf22; category=side_effect_advice</t>
  </si>
  <si>
    <t>306</t>
  </si>
  <si>
    <t>warning_labels</t>
  </si>
  <si>
    <t>doxycycline (RASML-swallow-whole-upright)</t>
  </si>
  <si>
    <t>Swallow whole with a full glass of water while sitting or standing</t>
  </si>
  <si>
    <t>scheme=RASML; source_ref=rasml-tga</t>
  </si>
  <si>
    <t>Confirm exact CAL/RASML number + VERBATIM wording before ship</t>
  </si>
  <si>
    <t>307</t>
  </si>
  <si>
    <t>doxycycline (RASML-avoid-dairy-antacid-iron)</t>
  </si>
  <si>
    <t>Do not take with dairy, antacids or iron preparations</t>
  </si>
  <si>
    <t>308</t>
  </si>
  <si>
    <t>isotretinoin (RASML-pregnancy-teratogen)</t>
  </si>
  <si>
    <t>Do not use if pregnant; effective contraception is required</t>
  </si>
  <si>
    <t>Attest</t>
  </si>
  <si>
    <t>Kenneth Lee</t>
  </si>
  <si>
    <t>MED0001857758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</si>
</sst>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1"/>
      <name val="Calibri"/>
      <family val="2"/>
    </font>
    <font>
      <sz val="11"/>
      <name val="Calibri"/>
      <family val="2"/>
    </font>
    <font>
      <sz val="13"/>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14" fontId="0" fillId="0" borderId="0" xfId="0" applyNumberForma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election activeCell="B30" sqref="B30"/>
    </sheetView>
  </sheetViews>
  <sheetFormatPr baseColWidth="10" defaultRowHeight="16" x14ac:dyDescent="0.2"/>
  <cols>
    <col min="1" max="1" width="52" customWidth="1"/>
    <col min="2" max="2" width="16" customWidth="1"/>
  </cols>
  <sheetData>
    <row r="1" spans="1:1" ht="15" x14ac:dyDescent="0.2">
      <c r="A1" s="1" t="s">
        <v>0</v>
      </c>
    </row>
    <row r="2" spans="1:1" ht="15" x14ac:dyDescent="0.2">
      <c r="A2" t="s">
        <v>1</v>
      </c>
    </row>
    <row r="3" spans="1:1" ht="15" x14ac:dyDescent="0.2"/>
    <row r="4" spans="1:1" ht="15" x14ac:dyDescent="0.2">
      <c r="A4" s="1" t="s">
        <v>2</v>
      </c>
    </row>
    <row r="5" spans="1:1" ht="15" x14ac:dyDescent="0.2">
      <c r="A5" t="s">
        <v>3</v>
      </c>
    </row>
    <row r="6" spans="1:1" ht="15" x14ac:dyDescent="0.2">
      <c r="A6" s="1" t="s">
        <v>4</v>
      </c>
    </row>
    <row r="7" spans="1:1" ht="15" x14ac:dyDescent="0.2">
      <c r="A7" t="s">
        <v>5</v>
      </c>
    </row>
    <row r="8" spans="1:1" ht="15" x14ac:dyDescent="0.2">
      <c r="A8" t="s">
        <v>6</v>
      </c>
    </row>
    <row r="9" spans="1:1" ht="15" x14ac:dyDescent="0.2">
      <c r="A9" t="s">
        <v>7</v>
      </c>
    </row>
    <row r="10" spans="1:1" ht="15" x14ac:dyDescent="0.2">
      <c r="A10" t="s">
        <v>8</v>
      </c>
    </row>
    <row r="11" spans="1:1" ht="15" x14ac:dyDescent="0.2">
      <c r="A11" t="s">
        <v>9</v>
      </c>
    </row>
    <row r="12" spans="1:1" ht="15" x14ac:dyDescent="0.2">
      <c r="A12" s="1" t="s">
        <v>10</v>
      </c>
    </row>
    <row r="13" spans="1:1" ht="15" x14ac:dyDescent="0.2">
      <c r="A13" t="s">
        <v>11</v>
      </c>
    </row>
    <row r="14" spans="1:1" ht="15" x14ac:dyDescent="0.2">
      <c r="A14" t="s">
        <v>12</v>
      </c>
    </row>
    <row r="15" spans="1:1" ht="15" x14ac:dyDescent="0.2">
      <c r="A15" t="s">
        <v>13</v>
      </c>
    </row>
    <row r="16" spans="1:1" ht="15" x14ac:dyDescent="0.2">
      <c r="A16" t="s">
        <v>14</v>
      </c>
    </row>
    <row r="17" spans="1:2" ht="15" x14ac:dyDescent="0.2">
      <c r="A17" s="1" t="s">
        <v>15</v>
      </c>
    </row>
    <row r="18" spans="1:2" ht="15" x14ac:dyDescent="0.2">
      <c r="A18" t="s">
        <v>16</v>
      </c>
      <c r="B18">
        <f>COUNTA('Sign-off worksheet'!D3:D310)</f>
        <v>308</v>
      </c>
    </row>
    <row r="19" spans="1:2" ht="15" x14ac:dyDescent="0.2">
      <c r="A19" t="s">
        <v>17</v>
      </c>
      <c r="B19">
        <f>COUNTIF('Sign-off worksheet'!I3:I310,"Attest")</f>
        <v>308</v>
      </c>
    </row>
    <row r="20" spans="1:2" ht="15" x14ac:dyDescent="0.2">
      <c r="A20" t="s">
        <v>18</v>
      </c>
      <c r="B20">
        <f>COUNTIF('Sign-off worksheet'!I3:I310,"Amend")</f>
        <v>0</v>
      </c>
    </row>
    <row r="21" spans="1:2" ht="15" x14ac:dyDescent="0.2">
      <c r="A21" t="s">
        <v>19</v>
      </c>
      <c r="B21">
        <f>COUNTIF('Sign-off worksheet'!I3:I310,"Reject")</f>
        <v>0</v>
      </c>
    </row>
    <row r="22" spans="1:2" ht="15" x14ac:dyDescent="0.2">
      <c r="A22" t="s">
        <v>20</v>
      </c>
      <c r="B22">
        <f>COUNTBLANK('Sign-off worksheet'!I3:I310)</f>
        <v>0</v>
      </c>
    </row>
    <row r="23" spans="1:2" ht="15" x14ac:dyDescent="0.2"/>
    <row r="24" spans="1:2" ht="15" x14ac:dyDescent="0.2">
      <c r="A24" s="1" t="s">
        <v>21</v>
      </c>
    </row>
    <row r="25" spans="1:2" ht="15" x14ac:dyDescent="0.2">
      <c r="A25" t="s">
        <v>22</v>
      </c>
      <c r="B25" s="3">
        <v>46217</v>
      </c>
    </row>
    <row r="26" spans="1:2" ht="15" x14ac:dyDescent="0.2">
      <c r="A26" t="s">
        <v>23</v>
      </c>
      <c r="B26" s="4" t="s">
        <v>17</v>
      </c>
    </row>
    <row r="27" spans="1:2" ht="15" x14ac:dyDescent="0.2">
      <c r="A27" t="s">
        <v>24</v>
      </c>
      <c r="B27" s="4" t="s">
        <v>1246</v>
      </c>
    </row>
    <row r="28" spans="1:2" ht="17" x14ac:dyDescent="0.2">
      <c r="A28" t="s">
        <v>25</v>
      </c>
      <c r="B28" s="5" t="s">
        <v>1247</v>
      </c>
    </row>
    <row r="29" spans="1:2" 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0"/>
  <sheetViews>
    <sheetView workbookViewId="0">
      <selection activeCell="I3" sqref="I3:I310"/>
    </sheetView>
  </sheetViews>
  <sheetFormatPr baseColWidth="10" defaultRowHeight="16" x14ac:dyDescent="0.2"/>
  <cols>
    <col min="1" max="1" width="5"/>
    <col min="2" max="2" width="20"/>
    <col min="3" max="3" width="24"/>
    <col min="4" max="4" width="34"/>
    <col min="5" max="5" width="60"/>
    <col min="6" max="6" width="34"/>
    <col min="7" max="7" width="40"/>
    <col min="8" max="8" width="26"/>
    <col min="9" max="9" width="14"/>
    <col min="10" max="10" width="34"/>
  </cols>
  <sheetData>
    <row r="1" spans="1:10" ht="15" x14ac:dyDescent="0.2">
      <c r="A1" s="1" t="s">
        <v>26</v>
      </c>
    </row>
    <row r="2" spans="1:10" ht="15" x14ac:dyDescent="0.2">
      <c r="A2" s="1" t="s">
        <v>27</v>
      </c>
      <c r="B2" s="1" t="s">
        <v>28</v>
      </c>
      <c r="C2" s="1" t="s">
        <v>29</v>
      </c>
      <c r="D2" s="1" t="s">
        <v>30</v>
      </c>
      <c r="E2" s="1" t="s">
        <v>31</v>
      </c>
      <c r="F2" s="1" t="s">
        <v>32</v>
      </c>
      <c r="G2" s="1" t="s">
        <v>33</v>
      </c>
      <c r="H2" s="1" t="s">
        <v>34</v>
      </c>
      <c r="I2" s="1" t="s">
        <v>35</v>
      </c>
      <c r="J2" s="1" t="s">
        <v>36</v>
      </c>
    </row>
    <row r="3" spans="1:10" ht="80" x14ac:dyDescent="0.2">
      <c r="A3" t="s">
        <v>37</v>
      </c>
      <c r="B3" s="2" t="s">
        <v>38</v>
      </c>
      <c r="C3" s="2" t="s">
        <v>39</v>
      </c>
      <c r="D3" s="2" t="s">
        <v>40</v>
      </c>
      <c r="E3" s="2" t="s">
        <v>41</v>
      </c>
      <c r="F3" s="2" t="s">
        <v>42</v>
      </c>
      <c r="G3" s="2" t="s">
        <v>43</v>
      </c>
      <c r="H3" s="2" t="s">
        <v>44</v>
      </c>
      <c r="I3" s="2" t="s">
        <v>1245</v>
      </c>
      <c r="J3" s="2"/>
    </row>
    <row r="4" spans="1:10" ht="80" x14ac:dyDescent="0.2">
      <c r="A4" t="s">
        <v>45</v>
      </c>
      <c r="B4" s="2" t="s">
        <v>38</v>
      </c>
      <c r="C4" s="2" t="s">
        <v>39</v>
      </c>
      <c r="D4" s="2" t="s">
        <v>46</v>
      </c>
      <c r="E4" s="2" t="s">
        <v>47</v>
      </c>
      <c r="F4" s="2" t="s">
        <v>48</v>
      </c>
      <c r="G4" s="2" t="s">
        <v>43</v>
      </c>
      <c r="H4" s="2" t="s">
        <v>44</v>
      </c>
      <c r="I4" s="2" t="s">
        <v>1245</v>
      </c>
      <c r="J4" s="2"/>
    </row>
    <row r="5" spans="1:10" ht="80" x14ac:dyDescent="0.2">
      <c r="A5" t="s">
        <v>49</v>
      </c>
      <c r="B5" s="2" t="s">
        <v>38</v>
      </c>
      <c r="C5" s="2" t="s">
        <v>39</v>
      </c>
      <c r="D5" s="2" t="s">
        <v>50</v>
      </c>
      <c r="E5" s="2" t="s">
        <v>51</v>
      </c>
      <c r="F5" s="2" t="s">
        <v>52</v>
      </c>
      <c r="G5" s="2" t="s">
        <v>43</v>
      </c>
      <c r="H5" s="2" t="s">
        <v>44</v>
      </c>
      <c r="I5" s="2" t="s">
        <v>1245</v>
      </c>
      <c r="J5" s="2"/>
    </row>
    <row r="6" spans="1:10" ht="64" x14ac:dyDescent="0.2">
      <c r="A6" t="s">
        <v>53</v>
      </c>
      <c r="B6" s="2" t="s">
        <v>38</v>
      </c>
      <c r="C6" s="2" t="s">
        <v>39</v>
      </c>
      <c r="D6" s="2" t="s">
        <v>54</v>
      </c>
      <c r="E6" s="2" t="s">
        <v>55</v>
      </c>
      <c r="F6" s="2" t="s">
        <v>56</v>
      </c>
      <c r="G6" s="2" t="s">
        <v>43</v>
      </c>
      <c r="H6" s="2" t="s">
        <v>44</v>
      </c>
      <c r="I6" s="2" t="s">
        <v>1245</v>
      </c>
      <c r="J6" s="2"/>
    </row>
    <row r="7" spans="1:10" ht="96" x14ac:dyDescent="0.2">
      <c r="A7" t="s">
        <v>57</v>
      </c>
      <c r="B7" s="2" t="s">
        <v>38</v>
      </c>
      <c r="C7" s="2" t="s">
        <v>39</v>
      </c>
      <c r="D7" s="2" t="s">
        <v>58</v>
      </c>
      <c r="E7" s="2" t="s">
        <v>59</v>
      </c>
      <c r="F7" s="2" t="s">
        <v>60</v>
      </c>
      <c r="G7" s="2" t="s">
        <v>43</v>
      </c>
      <c r="H7" s="2" t="s">
        <v>44</v>
      </c>
      <c r="I7" s="2" t="s">
        <v>1245</v>
      </c>
      <c r="J7" s="2"/>
    </row>
    <row r="8" spans="1:10" ht="80" x14ac:dyDescent="0.2">
      <c r="A8" t="s">
        <v>61</v>
      </c>
      <c r="B8" s="2" t="s">
        <v>38</v>
      </c>
      <c r="C8" s="2" t="s">
        <v>39</v>
      </c>
      <c r="D8" s="2" t="s">
        <v>62</v>
      </c>
      <c r="E8" s="2" t="s">
        <v>63</v>
      </c>
      <c r="F8" s="2" t="s">
        <v>64</v>
      </c>
      <c r="G8" s="2" t="s">
        <v>43</v>
      </c>
      <c r="H8" s="2" t="s">
        <v>44</v>
      </c>
      <c r="I8" s="2" t="s">
        <v>1245</v>
      </c>
      <c r="J8" s="2"/>
    </row>
    <row r="9" spans="1:10" ht="80" x14ac:dyDescent="0.2">
      <c r="A9" t="s">
        <v>65</v>
      </c>
      <c r="B9" s="2" t="s">
        <v>38</v>
      </c>
      <c r="C9" s="2" t="s">
        <v>39</v>
      </c>
      <c r="D9" s="2" t="s">
        <v>66</v>
      </c>
      <c r="E9" s="2" t="s">
        <v>67</v>
      </c>
      <c r="F9" s="2" t="s">
        <v>68</v>
      </c>
      <c r="G9" s="2" t="s">
        <v>43</v>
      </c>
      <c r="H9" s="2" t="s">
        <v>44</v>
      </c>
      <c r="I9" s="2" t="s">
        <v>1245</v>
      </c>
      <c r="J9" s="2"/>
    </row>
    <row r="10" spans="1:10" ht="64" x14ac:dyDescent="0.2">
      <c r="A10" t="s">
        <v>69</v>
      </c>
      <c r="B10" s="2" t="s">
        <v>38</v>
      </c>
      <c r="C10" s="2" t="s">
        <v>39</v>
      </c>
      <c r="D10" s="2" t="s">
        <v>70</v>
      </c>
      <c r="E10" s="2" t="s">
        <v>71</v>
      </c>
      <c r="F10" s="2" t="s">
        <v>72</v>
      </c>
      <c r="G10" s="2" t="s">
        <v>43</v>
      </c>
      <c r="H10" s="2" t="s">
        <v>44</v>
      </c>
      <c r="I10" s="2" t="s">
        <v>1245</v>
      </c>
      <c r="J10" s="2"/>
    </row>
    <row r="11" spans="1:10" ht="80" x14ac:dyDescent="0.2">
      <c r="A11" t="s">
        <v>73</v>
      </c>
      <c r="B11" s="2" t="s">
        <v>38</v>
      </c>
      <c r="C11" s="2" t="s">
        <v>39</v>
      </c>
      <c r="D11" s="2" t="s">
        <v>74</v>
      </c>
      <c r="E11" s="2" t="s">
        <v>75</v>
      </c>
      <c r="F11" s="2" t="s">
        <v>76</v>
      </c>
      <c r="G11" s="2" t="s">
        <v>43</v>
      </c>
      <c r="H11" s="2" t="s">
        <v>44</v>
      </c>
      <c r="I11" s="2" t="s">
        <v>1245</v>
      </c>
      <c r="J11" s="2"/>
    </row>
    <row r="12" spans="1:10" ht="80" x14ac:dyDescent="0.2">
      <c r="A12" t="s">
        <v>77</v>
      </c>
      <c r="B12" s="2" t="s">
        <v>38</v>
      </c>
      <c r="C12" s="2" t="s">
        <v>39</v>
      </c>
      <c r="D12" s="2" t="s">
        <v>78</v>
      </c>
      <c r="E12" s="2" t="s">
        <v>79</v>
      </c>
      <c r="F12" s="2" t="s">
        <v>80</v>
      </c>
      <c r="G12" s="2" t="s">
        <v>43</v>
      </c>
      <c r="H12" s="2" t="s">
        <v>44</v>
      </c>
      <c r="I12" s="2" t="s">
        <v>1245</v>
      </c>
      <c r="J12" s="2"/>
    </row>
    <row r="13" spans="1:10" ht="96" x14ac:dyDescent="0.2">
      <c r="A13" t="s">
        <v>81</v>
      </c>
      <c r="B13" s="2" t="s">
        <v>38</v>
      </c>
      <c r="C13" s="2" t="s">
        <v>39</v>
      </c>
      <c r="D13" s="2" t="s">
        <v>82</v>
      </c>
      <c r="E13" s="2" t="s">
        <v>83</v>
      </c>
      <c r="F13" s="2" t="s">
        <v>84</v>
      </c>
      <c r="G13" s="2" t="s">
        <v>43</v>
      </c>
      <c r="H13" s="2" t="s">
        <v>44</v>
      </c>
      <c r="I13" s="2" t="s">
        <v>1245</v>
      </c>
      <c r="J13" s="2"/>
    </row>
    <row r="14" spans="1:10" ht="80" x14ac:dyDescent="0.2">
      <c r="A14" t="s">
        <v>85</v>
      </c>
      <c r="B14" s="2" t="s">
        <v>38</v>
      </c>
      <c r="C14" s="2" t="s">
        <v>39</v>
      </c>
      <c r="D14" s="2" t="s">
        <v>86</v>
      </c>
      <c r="E14" s="2" t="s">
        <v>87</v>
      </c>
      <c r="F14" s="2" t="s">
        <v>88</v>
      </c>
      <c r="G14" s="2" t="s">
        <v>43</v>
      </c>
      <c r="H14" s="2" t="s">
        <v>44</v>
      </c>
      <c r="I14" s="2" t="s">
        <v>1245</v>
      </c>
      <c r="J14" s="2"/>
    </row>
    <row r="15" spans="1:10" ht="112" x14ac:dyDescent="0.2">
      <c r="A15" t="s">
        <v>89</v>
      </c>
      <c r="B15" s="2" t="s">
        <v>38</v>
      </c>
      <c r="C15" s="2" t="s">
        <v>39</v>
      </c>
      <c r="D15" s="2" t="s">
        <v>90</v>
      </c>
      <c r="E15" s="2" t="s">
        <v>91</v>
      </c>
      <c r="F15" s="2" t="s">
        <v>92</v>
      </c>
      <c r="G15" s="2" t="s">
        <v>43</v>
      </c>
      <c r="H15" s="2" t="s">
        <v>44</v>
      </c>
      <c r="I15" s="2" t="s">
        <v>1245</v>
      </c>
      <c r="J15" s="2"/>
    </row>
    <row r="16" spans="1:10" ht="80" x14ac:dyDescent="0.2">
      <c r="A16" t="s">
        <v>93</v>
      </c>
      <c r="B16" s="2" t="s">
        <v>38</v>
      </c>
      <c r="C16" s="2" t="s">
        <v>39</v>
      </c>
      <c r="D16" s="2" t="s">
        <v>94</v>
      </c>
      <c r="E16" s="2" t="s">
        <v>95</v>
      </c>
      <c r="F16" s="2" t="s">
        <v>96</v>
      </c>
      <c r="G16" s="2" t="s">
        <v>43</v>
      </c>
      <c r="H16" s="2" t="s">
        <v>44</v>
      </c>
      <c r="I16" s="2" t="s">
        <v>1245</v>
      </c>
      <c r="J16" s="2"/>
    </row>
    <row r="17" spans="1:10" ht="112" x14ac:dyDescent="0.2">
      <c r="A17" t="s">
        <v>97</v>
      </c>
      <c r="B17" s="2" t="s">
        <v>38</v>
      </c>
      <c r="C17" s="2" t="s">
        <v>39</v>
      </c>
      <c r="D17" s="2" t="s">
        <v>98</v>
      </c>
      <c r="E17" s="2" t="s">
        <v>99</v>
      </c>
      <c r="F17" s="2" t="s">
        <v>100</v>
      </c>
      <c r="G17" s="2" t="s">
        <v>43</v>
      </c>
      <c r="H17" s="2" t="s">
        <v>44</v>
      </c>
      <c r="I17" s="2" t="s">
        <v>1245</v>
      </c>
      <c r="J17" s="2"/>
    </row>
    <row r="18" spans="1:10" ht="80" x14ac:dyDescent="0.2">
      <c r="A18" t="s">
        <v>101</v>
      </c>
      <c r="B18" s="2" t="s">
        <v>38</v>
      </c>
      <c r="C18" s="2" t="s">
        <v>39</v>
      </c>
      <c r="D18" s="2" t="s">
        <v>102</v>
      </c>
      <c r="E18" s="2" t="s">
        <v>103</v>
      </c>
      <c r="F18" s="2" t="s">
        <v>104</v>
      </c>
      <c r="G18" s="2" t="s">
        <v>43</v>
      </c>
      <c r="H18" s="2" t="s">
        <v>44</v>
      </c>
      <c r="I18" s="2" t="s">
        <v>1245</v>
      </c>
      <c r="J18" s="2"/>
    </row>
    <row r="19" spans="1:10" ht="80" x14ac:dyDescent="0.2">
      <c r="A19" t="s">
        <v>105</v>
      </c>
      <c r="B19" s="2" t="s">
        <v>38</v>
      </c>
      <c r="C19" s="2" t="s">
        <v>39</v>
      </c>
      <c r="D19" s="2" t="s">
        <v>106</v>
      </c>
      <c r="E19" s="2" t="s">
        <v>107</v>
      </c>
      <c r="F19" s="2" t="s">
        <v>108</v>
      </c>
      <c r="G19" s="2" t="s">
        <v>43</v>
      </c>
      <c r="H19" s="2" t="s">
        <v>44</v>
      </c>
      <c r="I19" s="2" t="s">
        <v>1245</v>
      </c>
      <c r="J19" s="2"/>
    </row>
    <row r="20" spans="1:10" ht="176" x14ac:dyDescent="0.2">
      <c r="A20" t="s">
        <v>109</v>
      </c>
      <c r="B20" s="2" t="s">
        <v>38</v>
      </c>
      <c r="C20" s="2" t="s">
        <v>39</v>
      </c>
      <c r="D20" s="2" t="s">
        <v>110</v>
      </c>
      <c r="E20" s="2" t="s">
        <v>111</v>
      </c>
      <c r="F20" s="2" t="s">
        <v>112</v>
      </c>
      <c r="G20" s="2" t="s">
        <v>43</v>
      </c>
      <c r="H20" s="2" t="s">
        <v>44</v>
      </c>
      <c r="I20" s="2" t="s">
        <v>1245</v>
      </c>
      <c r="J20" s="2"/>
    </row>
    <row r="21" spans="1:10" ht="96" x14ac:dyDescent="0.2">
      <c r="A21" t="s">
        <v>113</v>
      </c>
      <c r="B21" s="2" t="s">
        <v>38</v>
      </c>
      <c r="C21" s="2" t="s">
        <v>39</v>
      </c>
      <c r="D21" s="2" t="s">
        <v>114</v>
      </c>
      <c r="E21" s="2" t="s">
        <v>115</v>
      </c>
      <c r="F21" s="2" t="s">
        <v>116</v>
      </c>
      <c r="G21" s="2" t="s">
        <v>43</v>
      </c>
      <c r="H21" s="2" t="s">
        <v>44</v>
      </c>
      <c r="I21" s="2" t="s">
        <v>1245</v>
      </c>
      <c r="J21" s="2"/>
    </row>
    <row r="22" spans="1:10" ht="80" x14ac:dyDescent="0.2">
      <c r="A22" t="s">
        <v>117</v>
      </c>
      <c r="B22" s="2" t="s">
        <v>38</v>
      </c>
      <c r="C22" s="2" t="s">
        <v>39</v>
      </c>
      <c r="D22" s="2" t="s">
        <v>118</v>
      </c>
      <c r="E22" s="2" t="s">
        <v>119</v>
      </c>
      <c r="F22" s="2" t="s">
        <v>120</v>
      </c>
      <c r="G22" s="2" t="s">
        <v>43</v>
      </c>
      <c r="H22" s="2" t="s">
        <v>44</v>
      </c>
      <c r="I22" s="2" t="s">
        <v>1245</v>
      </c>
      <c r="J22" s="2"/>
    </row>
    <row r="23" spans="1:10" ht="96" x14ac:dyDescent="0.2">
      <c r="A23" t="s">
        <v>121</v>
      </c>
      <c r="B23" s="2" t="s">
        <v>38</v>
      </c>
      <c r="C23" s="2" t="s">
        <v>39</v>
      </c>
      <c r="D23" s="2" t="s">
        <v>122</v>
      </c>
      <c r="E23" s="2" t="s">
        <v>123</v>
      </c>
      <c r="F23" s="2" t="s">
        <v>124</v>
      </c>
      <c r="G23" s="2" t="s">
        <v>43</v>
      </c>
      <c r="H23" s="2" t="s">
        <v>44</v>
      </c>
      <c r="I23" s="2" t="s">
        <v>1245</v>
      </c>
      <c r="J23" s="2"/>
    </row>
    <row r="24" spans="1:10" ht="80" x14ac:dyDescent="0.2">
      <c r="A24" t="s">
        <v>125</v>
      </c>
      <c r="B24" s="2" t="s">
        <v>38</v>
      </c>
      <c r="C24" s="2" t="s">
        <v>39</v>
      </c>
      <c r="D24" s="2" t="s">
        <v>126</v>
      </c>
      <c r="E24" s="2" t="s">
        <v>127</v>
      </c>
      <c r="F24" s="2" t="s">
        <v>128</v>
      </c>
      <c r="G24" s="2" t="s">
        <v>43</v>
      </c>
      <c r="H24" s="2" t="s">
        <v>44</v>
      </c>
      <c r="I24" s="2" t="s">
        <v>1245</v>
      </c>
      <c r="J24" s="2"/>
    </row>
    <row r="25" spans="1:10" ht="80" x14ac:dyDescent="0.2">
      <c r="A25" t="s">
        <v>129</v>
      </c>
      <c r="B25" s="2" t="s">
        <v>38</v>
      </c>
      <c r="C25" s="2" t="s">
        <v>39</v>
      </c>
      <c r="D25" s="2" t="s">
        <v>130</v>
      </c>
      <c r="E25" s="2" t="s">
        <v>131</v>
      </c>
      <c r="F25" s="2" t="s">
        <v>132</v>
      </c>
      <c r="G25" s="2" t="s">
        <v>43</v>
      </c>
      <c r="H25" s="2" t="s">
        <v>44</v>
      </c>
      <c r="I25" s="2" t="s">
        <v>1245</v>
      </c>
      <c r="J25" s="2"/>
    </row>
    <row r="26" spans="1:10" ht="64" x14ac:dyDescent="0.2">
      <c r="A26" t="s">
        <v>133</v>
      </c>
      <c r="B26" s="2" t="s">
        <v>38</v>
      </c>
      <c r="C26" s="2" t="s">
        <v>39</v>
      </c>
      <c r="D26" s="2" t="s">
        <v>134</v>
      </c>
      <c r="E26" s="2" t="s">
        <v>135</v>
      </c>
      <c r="F26" s="2" t="s">
        <v>136</v>
      </c>
      <c r="G26" s="2" t="s">
        <v>43</v>
      </c>
      <c r="H26" s="2" t="s">
        <v>44</v>
      </c>
      <c r="I26" s="2" t="s">
        <v>1245</v>
      </c>
      <c r="J26" s="2"/>
    </row>
    <row r="27" spans="1:10" ht="80" x14ac:dyDescent="0.2">
      <c r="A27" t="s">
        <v>137</v>
      </c>
      <c r="B27" s="2" t="s">
        <v>38</v>
      </c>
      <c r="C27" s="2" t="s">
        <v>39</v>
      </c>
      <c r="D27" s="2" t="s">
        <v>138</v>
      </c>
      <c r="E27" s="2" t="s">
        <v>139</v>
      </c>
      <c r="F27" s="2" t="s">
        <v>140</v>
      </c>
      <c r="G27" s="2" t="s">
        <v>43</v>
      </c>
      <c r="H27" s="2" t="s">
        <v>44</v>
      </c>
      <c r="I27" s="2" t="s">
        <v>1245</v>
      </c>
      <c r="J27" s="2"/>
    </row>
    <row r="28" spans="1:10" ht="80" x14ac:dyDescent="0.2">
      <c r="A28" t="s">
        <v>141</v>
      </c>
      <c r="B28" s="2" t="s">
        <v>38</v>
      </c>
      <c r="C28" s="2" t="s">
        <v>39</v>
      </c>
      <c r="D28" s="2" t="s">
        <v>142</v>
      </c>
      <c r="E28" s="2" t="s">
        <v>143</v>
      </c>
      <c r="F28" s="2" t="s">
        <v>144</v>
      </c>
      <c r="G28" s="2" t="s">
        <v>43</v>
      </c>
      <c r="H28" s="2" t="s">
        <v>44</v>
      </c>
      <c r="I28" s="2" t="s">
        <v>1245</v>
      </c>
      <c r="J28" s="2"/>
    </row>
    <row r="29" spans="1:10" ht="80" x14ac:dyDescent="0.2">
      <c r="A29" t="s">
        <v>145</v>
      </c>
      <c r="B29" s="2" t="s">
        <v>38</v>
      </c>
      <c r="C29" s="2" t="s">
        <v>39</v>
      </c>
      <c r="D29" s="2" t="s">
        <v>146</v>
      </c>
      <c r="E29" s="2" t="s">
        <v>147</v>
      </c>
      <c r="F29" s="2" t="s">
        <v>148</v>
      </c>
      <c r="G29" s="2" t="s">
        <v>43</v>
      </c>
      <c r="H29" s="2" t="s">
        <v>44</v>
      </c>
      <c r="I29" s="2" t="s">
        <v>1245</v>
      </c>
      <c r="J29" s="2"/>
    </row>
    <row r="30" spans="1:10" ht="80" x14ac:dyDescent="0.2">
      <c r="A30" t="s">
        <v>149</v>
      </c>
      <c r="B30" s="2" t="s">
        <v>38</v>
      </c>
      <c r="C30" s="2" t="s">
        <v>39</v>
      </c>
      <c r="D30" s="2" t="s">
        <v>150</v>
      </c>
      <c r="E30" s="2" t="s">
        <v>151</v>
      </c>
      <c r="F30" s="2" t="s">
        <v>152</v>
      </c>
      <c r="G30" s="2" t="s">
        <v>43</v>
      </c>
      <c r="H30" s="2" t="s">
        <v>44</v>
      </c>
      <c r="I30" s="2" t="s">
        <v>1245</v>
      </c>
      <c r="J30" s="2"/>
    </row>
    <row r="31" spans="1:10" ht="80" x14ac:dyDescent="0.2">
      <c r="A31" t="s">
        <v>153</v>
      </c>
      <c r="B31" s="2" t="s">
        <v>38</v>
      </c>
      <c r="C31" s="2" t="s">
        <v>39</v>
      </c>
      <c r="D31" s="2" t="s">
        <v>154</v>
      </c>
      <c r="E31" s="2" t="s">
        <v>155</v>
      </c>
      <c r="F31" s="2" t="s">
        <v>156</v>
      </c>
      <c r="G31" s="2" t="s">
        <v>43</v>
      </c>
      <c r="H31" s="2" t="s">
        <v>44</v>
      </c>
      <c r="I31" s="2" t="s">
        <v>1245</v>
      </c>
      <c r="J31" s="2"/>
    </row>
    <row r="32" spans="1:10" ht="64" x14ac:dyDescent="0.2">
      <c r="A32" t="s">
        <v>157</v>
      </c>
      <c r="B32" s="2" t="s">
        <v>38</v>
      </c>
      <c r="C32" s="2" t="s">
        <v>39</v>
      </c>
      <c r="D32" s="2" t="s">
        <v>158</v>
      </c>
      <c r="E32" s="2" t="s">
        <v>159</v>
      </c>
      <c r="F32" s="2" t="s">
        <v>160</v>
      </c>
      <c r="G32" s="2" t="s">
        <v>43</v>
      </c>
      <c r="H32" s="2" t="s">
        <v>44</v>
      </c>
      <c r="I32" s="2" t="s">
        <v>1245</v>
      </c>
      <c r="J32" s="2"/>
    </row>
    <row r="33" spans="1:10" ht="64" x14ac:dyDescent="0.2">
      <c r="A33" t="s">
        <v>161</v>
      </c>
      <c r="B33" s="2" t="s">
        <v>38</v>
      </c>
      <c r="C33" s="2" t="s">
        <v>39</v>
      </c>
      <c r="D33" s="2" t="s">
        <v>162</v>
      </c>
      <c r="E33" s="2" t="s">
        <v>163</v>
      </c>
      <c r="F33" s="2" t="s">
        <v>164</v>
      </c>
      <c r="G33" s="2" t="s">
        <v>43</v>
      </c>
      <c r="H33" s="2" t="s">
        <v>44</v>
      </c>
      <c r="I33" s="2" t="s">
        <v>1245</v>
      </c>
      <c r="J33" s="2"/>
    </row>
    <row r="34" spans="1:10" ht="80" x14ac:dyDescent="0.2">
      <c r="A34" t="s">
        <v>165</v>
      </c>
      <c r="B34" s="2" t="s">
        <v>38</v>
      </c>
      <c r="C34" s="2" t="s">
        <v>39</v>
      </c>
      <c r="D34" s="2" t="s">
        <v>166</v>
      </c>
      <c r="E34" s="2" t="s">
        <v>167</v>
      </c>
      <c r="F34" s="2" t="s">
        <v>168</v>
      </c>
      <c r="G34" s="2" t="s">
        <v>43</v>
      </c>
      <c r="H34" s="2" t="s">
        <v>44</v>
      </c>
      <c r="I34" s="2" t="s">
        <v>1245</v>
      </c>
      <c r="J34" s="2"/>
    </row>
    <row r="35" spans="1:10" ht="64" x14ac:dyDescent="0.2">
      <c r="A35" t="s">
        <v>169</v>
      </c>
      <c r="B35" s="2" t="s">
        <v>38</v>
      </c>
      <c r="C35" s="2" t="s">
        <v>39</v>
      </c>
      <c r="D35" s="2" t="s">
        <v>170</v>
      </c>
      <c r="E35" s="2" t="s">
        <v>171</v>
      </c>
      <c r="F35" s="2" t="s">
        <v>172</v>
      </c>
      <c r="G35" s="2" t="s">
        <v>43</v>
      </c>
      <c r="H35" s="2" t="s">
        <v>44</v>
      </c>
      <c r="I35" s="2" t="s">
        <v>1245</v>
      </c>
      <c r="J35" s="2"/>
    </row>
    <row r="36" spans="1:10" ht="96" x14ac:dyDescent="0.2">
      <c r="A36" t="s">
        <v>173</v>
      </c>
      <c r="B36" s="2" t="s">
        <v>38</v>
      </c>
      <c r="C36" s="2" t="s">
        <v>39</v>
      </c>
      <c r="D36" s="2" t="s">
        <v>174</v>
      </c>
      <c r="E36" s="2" t="s">
        <v>175</v>
      </c>
      <c r="F36" s="2" t="s">
        <v>176</v>
      </c>
      <c r="G36" s="2" t="s">
        <v>43</v>
      </c>
      <c r="H36" s="2" t="s">
        <v>44</v>
      </c>
      <c r="I36" s="2" t="s">
        <v>1245</v>
      </c>
      <c r="J36" s="2"/>
    </row>
    <row r="37" spans="1:10" ht="80" x14ac:dyDescent="0.2">
      <c r="A37" t="s">
        <v>177</v>
      </c>
      <c r="B37" s="2" t="s">
        <v>38</v>
      </c>
      <c r="C37" s="2" t="s">
        <v>39</v>
      </c>
      <c r="D37" s="2" t="s">
        <v>178</v>
      </c>
      <c r="E37" s="2" t="s">
        <v>179</v>
      </c>
      <c r="F37" s="2" t="s">
        <v>180</v>
      </c>
      <c r="G37" s="2" t="s">
        <v>43</v>
      </c>
      <c r="H37" s="2" t="s">
        <v>44</v>
      </c>
      <c r="I37" s="2" t="s">
        <v>1245</v>
      </c>
      <c r="J37" s="2"/>
    </row>
    <row r="38" spans="1:10" ht="80" x14ac:dyDescent="0.2">
      <c r="A38" t="s">
        <v>181</v>
      </c>
      <c r="B38" s="2" t="s">
        <v>38</v>
      </c>
      <c r="C38" s="2" t="s">
        <v>39</v>
      </c>
      <c r="D38" s="2" t="s">
        <v>182</v>
      </c>
      <c r="E38" s="2" t="s">
        <v>183</v>
      </c>
      <c r="F38" s="2" t="s">
        <v>184</v>
      </c>
      <c r="G38" s="2" t="s">
        <v>43</v>
      </c>
      <c r="H38" s="2" t="s">
        <v>44</v>
      </c>
      <c r="I38" s="2" t="s">
        <v>1245</v>
      </c>
      <c r="J38" s="2"/>
    </row>
    <row r="39" spans="1:10" ht="96" x14ac:dyDescent="0.2">
      <c r="A39" t="s">
        <v>185</v>
      </c>
      <c r="B39" s="2" t="s">
        <v>38</v>
      </c>
      <c r="C39" s="2" t="s">
        <v>39</v>
      </c>
      <c r="D39" s="2" t="s">
        <v>186</v>
      </c>
      <c r="E39" s="2" t="s">
        <v>187</v>
      </c>
      <c r="F39" s="2" t="s">
        <v>188</v>
      </c>
      <c r="G39" s="2" t="s">
        <v>43</v>
      </c>
      <c r="H39" s="2" t="s">
        <v>44</v>
      </c>
      <c r="I39" s="2" t="s">
        <v>1245</v>
      </c>
      <c r="J39" s="2"/>
    </row>
    <row r="40" spans="1:10" ht="80" x14ac:dyDescent="0.2">
      <c r="A40" t="s">
        <v>189</v>
      </c>
      <c r="B40" s="2" t="s">
        <v>38</v>
      </c>
      <c r="C40" s="2" t="s">
        <v>39</v>
      </c>
      <c r="D40" s="2" t="s">
        <v>190</v>
      </c>
      <c r="E40" s="2" t="s">
        <v>191</v>
      </c>
      <c r="F40" s="2" t="s">
        <v>192</v>
      </c>
      <c r="G40" s="2" t="s">
        <v>43</v>
      </c>
      <c r="H40" s="2" t="s">
        <v>44</v>
      </c>
      <c r="I40" s="2" t="s">
        <v>1245</v>
      </c>
      <c r="J40" s="2"/>
    </row>
    <row r="41" spans="1:10" ht="80" x14ac:dyDescent="0.2">
      <c r="A41" t="s">
        <v>193</v>
      </c>
      <c r="B41" s="2" t="s">
        <v>38</v>
      </c>
      <c r="C41" s="2" t="s">
        <v>39</v>
      </c>
      <c r="D41" s="2" t="s">
        <v>194</v>
      </c>
      <c r="E41" s="2" t="s">
        <v>195</v>
      </c>
      <c r="F41" s="2" t="s">
        <v>196</v>
      </c>
      <c r="G41" s="2" t="s">
        <v>43</v>
      </c>
      <c r="H41" s="2" t="s">
        <v>44</v>
      </c>
      <c r="I41" s="2" t="s">
        <v>1245</v>
      </c>
      <c r="J41" s="2"/>
    </row>
    <row r="42" spans="1:10" ht="96" x14ac:dyDescent="0.2">
      <c r="A42" t="s">
        <v>197</v>
      </c>
      <c r="B42" s="2" t="s">
        <v>38</v>
      </c>
      <c r="C42" s="2" t="s">
        <v>39</v>
      </c>
      <c r="D42" s="2" t="s">
        <v>198</v>
      </c>
      <c r="E42" s="2" t="s">
        <v>199</v>
      </c>
      <c r="F42" s="2" t="s">
        <v>200</v>
      </c>
      <c r="G42" s="2" t="s">
        <v>43</v>
      </c>
      <c r="H42" s="2" t="s">
        <v>44</v>
      </c>
      <c r="I42" s="2" t="s">
        <v>1245</v>
      </c>
      <c r="J42" s="2"/>
    </row>
    <row r="43" spans="1:10" ht="80" x14ac:dyDescent="0.2">
      <c r="A43" t="s">
        <v>201</v>
      </c>
      <c r="B43" s="2" t="s">
        <v>38</v>
      </c>
      <c r="C43" s="2" t="s">
        <v>39</v>
      </c>
      <c r="D43" s="2" t="s">
        <v>202</v>
      </c>
      <c r="E43" s="2" t="s">
        <v>203</v>
      </c>
      <c r="F43" s="2" t="s">
        <v>204</v>
      </c>
      <c r="G43" s="2" t="s">
        <v>43</v>
      </c>
      <c r="H43" s="2" t="s">
        <v>44</v>
      </c>
      <c r="I43" s="2" t="s">
        <v>1245</v>
      </c>
      <c r="J43" s="2"/>
    </row>
    <row r="44" spans="1:10" ht="80" x14ac:dyDescent="0.2">
      <c r="A44" t="s">
        <v>205</v>
      </c>
      <c r="B44" s="2" t="s">
        <v>38</v>
      </c>
      <c r="C44" s="2" t="s">
        <v>39</v>
      </c>
      <c r="D44" s="2" t="s">
        <v>206</v>
      </c>
      <c r="E44" s="2" t="s">
        <v>207</v>
      </c>
      <c r="F44" s="2" t="s">
        <v>208</v>
      </c>
      <c r="G44" s="2" t="s">
        <v>43</v>
      </c>
      <c r="H44" s="2" t="s">
        <v>44</v>
      </c>
      <c r="I44" s="2" t="s">
        <v>1245</v>
      </c>
      <c r="J44" s="2"/>
    </row>
    <row r="45" spans="1:10" ht="64" x14ac:dyDescent="0.2">
      <c r="A45" t="s">
        <v>209</v>
      </c>
      <c r="B45" s="2" t="s">
        <v>38</v>
      </c>
      <c r="C45" s="2" t="s">
        <v>39</v>
      </c>
      <c r="D45" s="2" t="s">
        <v>210</v>
      </c>
      <c r="E45" s="2" t="s">
        <v>211</v>
      </c>
      <c r="F45" s="2" t="s">
        <v>212</v>
      </c>
      <c r="G45" s="2" t="s">
        <v>43</v>
      </c>
      <c r="H45" s="2" t="s">
        <v>44</v>
      </c>
      <c r="I45" s="2" t="s">
        <v>1245</v>
      </c>
      <c r="J45" s="2"/>
    </row>
    <row r="46" spans="1:10" ht="64" x14ac:dyDescent="0.2">
      <c r="A46" t="s">
        <v>213</v>
      </c>
      <c r="B46" s="2" t="s">
        <v>38</v>
      </c>
      <c r="C46" s="2" t="s">
        <v>39</v>
      </c>
      <c r="D46" s="2" t="s">
        <v>214</v>
      </c>
      <c r="E46" s="2" t="s">
        <v>215</v>
      </c>
      <c r="F46" s="2" t="s">
        <v>216</v>
      </c>
      <c r="G46" s="2" t="s">
        <v>43</v>
      </c>
      <c r="H46" s="2" t="s">
        <v>44</v>
      </c>
      <c r="I46" s="2" t="s">
        <v>1245</v>
      </c>
      <c r="J46" s="2"/>
    </row>
    <row r="47" spans="1:10" ht="80" x14ac:dyDescent="0.2">
      <c r="A47" t="s">
        <v>217</v>
      </c>
      <c r="B47" s="2" t="s">
        <v>38</v>
      </c>
      <c r="C47" s="2" t="s">
        <v>39</v>
      </c>
      <c r="D47" s="2" t="s">
        <v>218</v>
      </c>
      <c r="E47" s="2" t="s">
        <v>219</v>
      </c>
      <c r="F47" s="2" t="s">
        <v>220</v>
      </c>
      <c r="G47" s="2" t="s">
        <v>43</v>
      </c>
      <c r="H47" s="2" t="s">
        <v>44</v>
      </c>
      <c r="I47" s="2" t="s">
        <v>1245</v>
      </c>
      <c r="J47" s="2"/>
    </row>
    <row r="48" spans="1:10" ht="80" x14ac:dyDescent="0.2">
      <c r="A48" t="s">
        <v>221</v>
      </c>
      <c r="B48" s="2" t="s">
        <v>38</v>
      </c>
      <c r="C48" s="2" t="s">
        <v>39</v>
      </c>
      <c r="D48" s="2" t="s">
        <v>222</v>
      </c>
      <c r="E48" s="2" t="s">
        <v>223</v>
      </c>
      <c r="F48" s="2" t="s">
        <v>224</v>
      </c>
      <c r="G48" s="2" t="s">
        <v>43</v>
      </c>
      <c r="H48" s="2" t="s">
        <v>44</v>
      </c>
      <c r="I48" s="2" t="s">
        <v>1245</v>
      </c>
      <c r="J48" s="2"/>
    </row>
    <row r="49" spans="1:10" ht="64" x14ac:dyDescent="0.2">
      <c r="A49" t="s">
        <v>225</v>
      </c>
      <c r="B49" s="2" t="s">
        <v>38</v>
      </c>
      <c r="C49" s="2" t="s">
        <v>39</v>
      </c>
      <c r="D49" s="2" t="s">
        <v>226</v>
      </c>
      <c r="E49" s="2" t="s">
        <v>227</v>
      </c>
      <c r="F49" s="2" t="s">
        <v>228</v>
      </c>
      <c r="G49" s="2" t="s">
        <v>43</v>
      </c>
      <c r="H49" s="2" t="s">
        <v>44</v>
      </c>
      <c r="I49" s="2" t="s">
        <v>1245</v>
      </c>
      <c r="J49" s="2"/>
    </row>
    <row r="50" spans="1:10" ht="64" x14ac:dyDescent="0.2">
      <c r="A50" t="s">
        <v>229</v>
      </c>
      <c r="B50" s="2" t="s">
        <v>38</v>
      </c>
      <c r="C50" s="2" t="s">
        <v>39</v>
      </c>
      <c r="D50" s="2" t="s">
        <v>230</v>
      </c>
      <c r="E50" s="2" t="s">
        <v>231</v>
      </c>
      <c r="F50" s="2" t="s">
        <v>232</v>
      </c>
      <c r="G50" s="2" t="s">
        <v>43</v>
      </c>
      <c r="H50" s="2" t="s">
        <v>44</v>
      </c>
      <c r="I50" s="2" t="s">
        <v>1245</v>
      </c>
      <c r="J50" s="2"/>
    </row>
    <row r="51" spans="1:10" ht="80" x14ac:dyDescent="0.2">
      <c r="A51" t="s">
        <v>233</v>
      </c>
      <c r="B51" s="2" t="s">
        <v>38</v>
      </c>
      <c r="C51" s="2" t="s">
        <v>39</v>
      </c>
      <c r="D51" s="2" t="s">
        <v>234</v>
      </c>
      <c r="E51" s="2" t="s">
        <v>235</v>
      </c>
      <c r="F51" s="2" t="s">
        <v>236</v>
      </c>
      <c r="G51" s="2" t="s">
        <v>43</v>
      </c>
      <c r="H51" s="2" t="s">
        <v>44</v>
      </c>
      <c r="I51" s="2" t="s">
        <v>1245</v>
      </c>
      <c r="J51" s="2"/>
    </row>
    <row r="52" spans="1:10" ht="144" x14ac:dyDescent="0.2">
      <c r="A52" t="s">
        <v>237</v>
      </c>
      <c r="B52" s="2" t="s">
        <v>38</v>
      </c>
      <c r="C52" s="2" t="s">
        <v>39</v>
      </c>
      <c r="D52" s="2" t="s">
        <v>238</v>
      </c>
      <c r="E52" s="2" t="s">
        <v>239</v>
      </c>
      <c r="F52" s="2" t="s">
        <v>240</v>
      </c>
      <c r="G52" s="2" t="s">
        <v>43</v>
      </c>
      <c r="H52" s="2" t="s">
        <v>44</v>
      </c>
      <c r="I52" s="2" t="s">
        <v>1245</v>
      </c>
      <c r="J52" s="2"/>
    </row>
    <row r="53" spans="1:10" ht="80" x14ac:dyDescent="0.2">
      <c r="A53" t="s">
        <v>241</v>
      </c>
      <c r="B53" s="2" t="s">
        <v>38</v>
      </c>
      <c r="C53" s="2" t="s">
        <v>39</v>
      </c>
      <c r="D53" s="2" t="s">
        <v>242</v>
      </c>
      <c r="E53" s="2" t="s">
        <v>243</v>
      </c>
      <c r="F53" s="2" t="s">
        <v>244</v>
      </c>
      <c r="G53" s="2" t="s">
        <v>43</v>
      </c>
      <c r="H53" s="2" t="s">
        <v>44</v>
      </c>
      <c r="I53" s="2" t="s">
        <v>1245</v>
      </c>
      <c r="J53" s="2"/>
    </row>
    <row r="54" spans="1:10" ht="96" x14ac:dyDescent="0.2">
      <c r="A54" t="s">
        <v>245</v>
      </c>
      <c r="B54" s="2" t="s">
        <v>38</v>
      </c>
      <c r="C54" s="2" t="s">
        <v>39</v>
      </c>
      <c r="D54" s="2" t="s">
        <v>246</v>
      </c>
      <c r="E54" s="2" t="s">
        <v>247</v>
      </c>
      <c r="F54" s="2" t="s">
        <v>248</v>
      </c>
      <c r="G54" s="2" t="s">
        <v>43</v>
      </c>
      <c r="H54" s="2" t="s">
        <v>44</v>
      </c>
      <c r="I54" s="2" t="s">
        <v>1245</v>
      </c>
      <c r="J54" s="2"/>
    </row>
    <row r="55" spans="1:10" ht="112" x14ac:dyDescent="0.2">
      <c r="A55" t="s">
        <v>249</v>
      </c>
      <c r="B55" s="2" t="s">
        <v>38</v>
      </c>
      <c r="C55" s="2" t="s">
        <v>39</v>
      </c>
      <c r="D55" s="2" t="s">
        <v>250</v>
      </c>
      <c r="E55" s="2" t="s">
        <v>251</v>
      </c>
      <c r="F55" s="2" t="s">
        <v>252</v>
      </c>
      <c r="G55" s="2" t="s">
        <v>43</v>
      </c>
      <c r="H55" s="2" t="s">
        <v>44</v>
      </c>
      <c r="I55" s="2" t="s">
        <v>1245</v>
      </c>
      <c r="J55" s="2"/>
    </row>
    <row r="56" spans="1:10" ht="64" x14ac:dyDescent="0.2">
      <c r="A56" t="s">
        <v>253</v>
      </c>
      <c r="B56" s="2" t="s">
        <v>38</v>
      </c>
      <c r="C56" s="2" t="s">
        <v>39</v>
      </c>
      <c r="D56" s="2" t="s">
        <v>254</v>
      </c>
      <c r="E56" s="2" t="s">
        <v>255</v>
      </c>
      <c r="F56" s="2" t="s">
        <v>256</v>
      </c>
      <c r="G56" s="2" t="s">
        <v>43</v>
      </c>
      <c r="H56" s="2" t="s">
        <v>44</v>
      </c>
      <c r="I56" s="2" t="s">
        <v>1245</v>
      </c>
      <c r="J56" s="2"/>
    </row>
    <row r="57" spans="1:10" ht="80" x14ac:dyDescent="0.2">
      <c r="A57" t="s">
        <v>257</v>
      </c>
      <c r="B57" s="2" t="s">
        <v>38</v>
      </c>
      <c r="C57" s="2" t="s">
        <v>39</v>
      </c>
      <c r="D57" s="2" t="s">
        <v>258</v>
      </c>
      <c r="E57" s="2" t="s">
        <v>259</v>
      </c>
      <c r="F57" s="2" t="s">
        <v>260</v>
      </c>
      <c r="G57" s="2" t="s">
        <v>43</v>
      </c>
      <c r="H57" s="2" t="s">
        <v>44</v>
      </c>
      <c r="I57" s="2" t="s">
        <v>1245</v>
      </c>
      <c r="J57" s="2"/>
    </row>
    <row r="58" spans="1:10" ht="96" x14ac:dyDescent="0.2">
      <c r="A58" t="s">
        <v>261</v>
      </c>
      <c r="B58" s="2" t="s">
        <v>38</v>
      </c>
      <c r="C58" s="2" t="s">
        <v>39</v>
      </c>
      <c r="D58" s="2" t="s">
        <v>262</v>
      </c>
      <c r="E58" s="2" t="s">
        <v>263</v>
      </c>
      <c r="F58" s="2" t="s">
        <v>264</v>
      </c>
      <c r="G58" s="2" t="s">
        <v>43</v>
      </c>
      <c r="H58" s="2" t="s">
        <v>44</v>
      </c>
      <c r="I58" s="2" t="s">
        <v>1245</v>
      </c>
      <c r="J58" s="2"/>
    </row>
    <row r="59" spans="1:10" ht="80" x14ac:dyDescent="0.2">
      <c r="A59" t="s">
        <v>265</v>
      </c>
      <c r="B59" s="2" t="s">
        <v>38</v>
      </c>
      <c r="C59" s="2" t="s">
        <v>39</v>
      </c>
      <c r="D59" s="2" t="s">
        <v>266</v>
      </c>
      <c r="E59" s="2" t="s">
        <v>267</v>
      </c>
      <c r="F59" s="2" t="s">
        <v>268</v>
      </c>
      <c r="G59" s="2" t="s">
        <v>43</v>
      </c>
      <c r="H59" s="2" t="s">
        <v>44</v>
      </c>
      <c r="I59" s="2" t="s">
        <v>1245</v>
      </c>
      <c r="J59" s="2"/>
    </row>
    <row r="60" spans="1:10" ht="96" x14ac:dyDescent="0.2">
      <c r="A60" t="s">
        <v>269</v>
      </c>
      <c r="B60" s="2" t="s">
        <v>38</v>
      </c>
      <c r="C60" s="2" t="s">
        <v>39</v>
      </c>
      <c r="D60" s="2" t="s">
        <v>270</v>
      </c>
      <c r="E60" s="2" t="s">
        <v>271</v>
      </c>
      <c r="F60" s="2" t="s">
        <v>272</v>
      </c>
      <c r="G60" s="2" t="s">
        <v>43</v>
      </c>
      <c r="H60" s="2" t="s">
        <v>44</v>
      </c>
      <c r="I60" s="2" t="s">
        <v>1245</v>
      </c>
      <c r="J60" s="2"/>
    </row>
    <row r="61" spans="1:10" ht="96" x14ac:dyDescent="0.2">
      <c r="A61" t="s">
        <v>273</v>
      </c>
      <c r="B61" s="2" t="s">
        <v>38</v>
      </c>
      <c r="C61" s="2" t="s">
        <v>39</v>
      </c>
      <c r="D61" s="2" t="s">
        <v>274</v>
      </c>
      <c r="E61" s="2" t="s">
        <v>275</v>
      </c>
      <c r="F61" s="2" t="s">
        <v>276</v>
      </c>
      <c r="G61" s="2" t="s">
        <v>43</v>
      </c>
      <c r="H61" s="2" t="s">
        <v>44</v>
      </c>
      <c r="I61" s="2" t="s">
        <v>1245</v>
      </c>
      <c r="J61" s="2"/>
    </row>
    <row r="62" spans="1:10" ht="80" x14ac:dyDescent="0.2">
      <c r="A62" t="s">
        <v>277</v>
      </c>
      <c r="B62" s="2" t="s">
        <v>38</v>
      </c>
      <c r="C62" s="2" t="s">
        <v>39</v>
      </c>
      <c r="D62" s="2" t="s">
        <v>278</v>
      </c>
      <c r="E62" s="2" t="s">
        <v>279</v>
      </c>
      <c r="F62" s="2" t="s">
        <v>280</v>
      </c>
      <c r="G62" s="2" t="s">
        <v>43</v>
      </c>
      <c r="H62" s="2" t="s">
        <v>44</v>
      </c>
      <c r="I62" s="2" t="s">
        <v>1245</v>
      </c>
      <c r="J62" s="2"/>
    </row>
    <row r="63" spans="1:10" ht="96" x14ac:dyDescent="0.2">
      <c r="A63" t="s">
        <v>281</v>
      </c>
      <c r="B63" s="2" t="s">
        <v>38</v>
      </c>
      <c r="C63" s="2" t="s">
        <v>39</v>
      </c>
      <c r="D63" s="2" t="s">
        <v>282</v>
      </c>
      <c r="E63" s="2" t="s">
        <v>283</v>
      </c>
      <c r="F63" s="2" t="s">
        <v>284</v>
      </c>
      <c r="G63" s="2" t="s">
        <v>43</v>
      </c>
      <c r="H63" s="2" t="s">
        <v>44</v>
      </c>
      <c r="I63" s="2" t="s">
        <v>1245</v>
      </c>
      <c r="J63" s="2"/>
    </row>
    <row r="64" spans="1:10" ht="80" x14ac:dyDescent="0.2">
      <c r="A64" t="s">
        <v>285</v>
      </c>
      <c r="B64" s="2" t="s">
        <v>38</v>
      </c>
      <c r="C64" s="2" t="s">
        <v>39</v>
      </c>
      <c r="D64" s="2" t="s">
        <v>286</v>
      </c>
      <c r="E64" s="2" t="s">
        <v>287</v>
      </c>
      <c r="F64" s="2" t="s">
        <v>288</v>
      </c>
      <c r="G64" s="2" t="s">
        <v>43</v>
      </c>
      <c r="H64" s="2" t="s">
        <v>44</v>
      </c>
      <c r="I64" s="2" t="s">
        <v>1245</v>
      </c>
      <c r="J64" s="2"/>
    </row>
    <row r="65" spans="1:10" ht="64" x14ac:dyDescent="0.2">
      <c r="A65" t="s">
        <v>289</v>
      </c>
      <c r="B65" s="2" t="s">
        <v>38</v>
      </c>
      <c r="C65" s="2" t="s">
        <v>39</v>
      </c>
      <c r="D65" s="2" t="s">
        <v>290</v>
      </c>
      <c r="E65" s="2" t="s">
        <v>291</v>
      </c>
      <c r="F65" s="2" t="s">
        <v>292</v>
      </c>
      <c r="G65" s="2" t="s">
        <v>43</v>
      </c>
      <c r="H65" s="2" t="s">
        <v>44</v>
      </c>
      <c r="I65" s="2" t="s">
        <v>1245</v>
      </c>
      <c r="J65" s="2"/>
    </row>
    <row r="66" spans="1:10" ht="96" x14ac:dyDescent="0.2">
      <c r="A66" t="s">
        <v>293</v>
      </c>
      <c r="B66" s="2" t="s">
        <v>38</v>
      </c>
      <c r="C66" s="2" t="s">
        <v>39</v>
      </c>
      <c r="D66" s="2" t="s">
        <v>294</v>
      </c>
      <c r="E66" s="2" t="s">
        <v>295</v>
      </c>
      <c r="F66" s="2" t="s">
        <v>296</v>
      </c>
      <c r="G66" s="2" t="s">
        <v>43</v>
      </c>
      <c r="H66" s="2" t="s">
        <v>44</v>
      </c>
      <c r="I66" s="2" t="s">
        <v>1245</v>
      </c>
      <c r="J66" s="2"/>
    </row>
    <row r="67" spans="1:10" ht="96" x14ac:dyDescent="0.2">
      <c r="A67" t="s">
        <v>297</v>
      </c>
      <c r="B67" s="2" t="s">
        <v>38</v>
      </c>
      <c r="C67" s="2" t="s">
        <v>39</v>
      </c>
      <c r="D67" s="2" t="s">
        <v>298</v>
      </c>
      <c r="E67" s="2" t="s">
        <v>299</v>
      </c>
      <c r="F67" s="2" t="s">
        <v>300</v>
      </c>
      <c r="G67" s="2" t="s">
        <v>43</v>
      </c>
      <c r="H67" s="2" t="s">
        <v>44</v>
      </c>
      <c r="I67" s="2" t="s">
        <v>1245</v>
      </c>
      <c r="J67" s="2"/>
    </row>
    <row r="68" spans="1:10" ht="112" x14ac:dyDescent="0.2">
      <c r="A68" t="s">
        <v>301</v>
      </c>
      <c r="B68" s="2" t="s">
        <v>38</v>
      </c>
      <c r="C68" s="2" t="s">
        <v>39</v>
      </c>
      <c r="D68" s="2" t="s">
        <v>302</v>
      </c>
      <c r="E68" s="2" t="s">
        <v>303</v>
      </c>
      <c r="F68" s="2" t="s">
        <v>304</v>
      </c>
      <c r="G68" s="2" t="s">
        <v>43</v>
      </c>
      <c r="H68" s="2" t="s">
        <v>44</v>
      </c>
      <c r="I68" s="2" t="s">
        <v>1245</v>
      </c>
      <c r="J68" s="2"/>
    </row>
    <row r="69" spans="1:10" ht="80" x14ac:dyDescent="0.2">
      <c r="A69" t="s">
        <v>305</v>
      </c>
      <c r="B69" s="2" t="s">
        <v>38</v>
      </c>
      <c r="C69" s="2" t="s">
        <v>39</v>
      </c>
      <c r="D69" s="2" t="s">
        <v>306</v>
      </c>
      <c r="E69" s="2" t="s">
        <v>307</v>
      </c>
      <c r="F69" s="2" t="s">
        <v>308</v>
      </c>
      <c r="G69" s="2" t="s">
        <v>43</v>
      </c>
      <c r="H69" s="2" t="s">
        <v>44</v>
      </c>
      <c r="I69" s="2" t="s">
        <v>1245</v>
      </c>
      <c r="J69" s="2"/>
    </row>
    <row r="70" spans="1:10" ht="80" x14ac:dyDescent="0.2">
      <c r="A70" t="s">
        <v>309</v>
      </c>
      <c r="B70" s="2" t="s">
        <v>38</v>
      </c>
      <c r="C70" s="2" t="s">
        <v>39</v>
      </c>
      <c r="D70" s="2" t="s">
        <v>310</v>
      </c>
      <c r="E70" s="2" t="s">
        <v>311</v>
      </c>
      <c r="F70" s="2" t="s">
        <v>312</v>
      </c>
      <c r="G70" s="2" t="s">
        <v>43</v>
      </c>
      <c r="H70" s="2" t="s">
        <v>44</v>
      </c>
      <c r="I70" s="2" t="s">
        <v>1245</v>
      </c>
      <c r="J70" s="2"/>
    </row>
    <row r="71" spans="1:10" ht="64" x14ac:dyDescent="0.2">
      <c r="A71" t="s">
        <v>313</v>
      </c>
      <c r="B71" s="2" t="s">
        <v>38</v>
      </c>
      <c r="C71" s="2" t="s">
        <v>39</v>
      </c>
      <c r="D71" s="2" t="s">
        <v>314</v>
      </c>
      <c r="E71" s="2" t="s">
        <v>315</v>
      </c>
      <c r="F71" s="2" t="s">
        <v>316</v>
      </c>
      <c r="G71" s="2" t="s">
        <v>43</v>
      </c>
      <c r="H71" s="2" t="s">
        <v>44</v>
      </c>
      <c r="I71" s="2" t="s">
        <v>1245</v>
      </c>
      <c r="J71" s="2"/>
    </row>
    <row r="72" spans="1:10" ht="96" x14ac:dyDescent="0.2">
      <c r="A72" t="s">
        <v>317</v>
      </c>
      <c r="B72" s="2" t="s">
        <v>38</v>
      </c>
      <c r="C72" s="2" t="s">
        <v>39</v>
      </c>
      <c r="D72" s="2" t="s">
        <v>318</v>
      </c>
      <c r="E72" s="2" t="s">
        <v>319</v>
      </c>
      <c r="F72" s="2" t="s">
        <v>320</v>
      </c>
      <c r="G72" s="2" t="s">
        <v>43</v>
      </c>
      <c r="H72" s="2" t="s">
        <v>44</v>
      </c>
      <c r="I72" s="2" t="s">
        <v>1245</v>
      </c>
      <c r="J72" s="2"/>
    </row>
    <row r="73" spans="1:10" ht="80" x14ac:dyDescent="0.2">
      <c r="A73" t="s">
        <v>321</v>
      </c>
      <c r="B73" s="2" t="s">
        <v>38</v>
      </c>
      <c r="C73" s="2" t="s">
        <v>39</v>
      </c>
      <c r="D73" s="2" t="s">
        <v>322</v>
      </c>
      <c r="E73" s="2" t="s">
        <v>323</v>
      </c>
      <c r="F73" s="2" t="s">
        <v>324</v>
      </c>
      <c r="G73" s="2" t="s">
        <v>43</v>
      </c>
      <c r="H73" s="2" t="s">
        <v>44</v>
      </c>
      <c r="I73" s="2" t="s">
        <v>1245</v>
      </c>
      <c r="J73" s="2"/>
    </row>
    <row r="74" spans="1:10" ht="64" x14ac:dyDescent="0.2">
      <c r="A74" t="s">
        <v>325</v>
      </c>
      <c r="B74" s="2" t="s">
        <v>38</v>
      </c>
      <c r="C74" s="2" t="s">
        <v>39</v>
      </c>
      <c r="D74" s="2" t="s">
        <v>326</v>
      </c>
      <c r="E74" s="2" t="s">
        <v>327</v>
      </c>
      <c r="F74" s="2" t="s">
        <v>328</v>
      </c>
      <c r="G74" s="2" t="s">
        <v>43</v>
      </c>
      <c r="H74" s="2" t="s">
        <v>44</v>
      </c>
      <c r="I74" s="2" t="s">
        <v>1245</v>
      </c>
      <c r="J74" s="2"/>
    </row>
    <row r="75" spans="1:10" ht="112" x14ac:dyDescent="0.2">
      <c r="A75" t="s">
        <v>329</v>
      </c>
      <c r="B75" s="2" t="s">
        <v>38</v>
      </c>
      <c r="C75" s="2" t="s">
        <v>39</v>
      </c>
      <c r="D75" s="2" t="s">
        <v>330</v>
      </c>
      <c r="E75" s="2" t="s">
        <v>331</v>
      </c>
      <c r="F75" s="2" t="s">
        <v>332</v>
      </c>
      <c r="G75" s="2" t="s">
        <v>43</v>
      </c>
      <c r="H75" s="2" t="s">
        <v>44</v>
      </c>
      <c r="I75" s="2" t="s">
        <v>1245</v>
      </c>
      <c r="J75" s="2"/>
    </row>
    <row r="76" spans="1:10" ht="112" x14ac:dyDescent="0.2">
      <c r="A76" t="s">
        <v>333</v>
      </c>
      <c r="B76" s="2" t="s">
        <v>38</v>
      </c>
      <c r="C76" s="2" t="s">
        <v>39</v>
      </c>
      <c r="D76" s="2" t="s">
        <v>334</v>
      </c>
      <c r="E76" s="2" t="s">
        <v>335</v>
      </c>
      <c r="F76" s="2" t="s">
        <v>336</v>
      </c>
      <c r="G76" s="2" t="s">
        <v>43</v>
      </c>
      <c r="H76" s="2" t="s">
        <v>44</v>
      </c>
      <c r="I76" s="2" t="s">
        <v>1245</v>
      </c>
      <c r="J76" s="2"/>
    </row>
    <row r="77" spans="1:10" ht="80" x14ac:dyDescent="0.2">
      <c r="A77" t="s">
        <v>337</v>
      </c>
      <c r="B77" s="2" t="s">
        <v>38</v>
      </c>
      <c r="C77" s="2" t="s">
        <v>39</v>
      </c>
      <c r="D77" s="2" t="s">
        <v>338</v>
      </c>
      <c r="E77" s="2" t="s">
        <v>339</v>
      </c>
      <c r="F77" s="2" t="s">
        <v>340</v>
      </c>
      <c r="G77" s="2" t="s">
        <v>43</v>
      </c>
      <c r="H77" s="2" t="s">
        <v>44</v>
      </c>
      <c r="I77" s="2" t="s">
        <v>1245</v>
      </c>
      <c r="J77" s="2"/>
    </row>
    <row r="78" spans="1:10" ht="80" x14ac:dyDescent="0.2">
      <c r="A78" t="s">
        <v>341</v>
      </c>
      <c r="B78" s="2" t="s">
        <v>38</v>
      </c>
      <c r="C78" s="2" t="s">
        <v>39</v>
      </c>
      <c r="D78" s="2" t="s">
        <v>342</v>
      </c>
      <c r="E78" s="2" t="s">
        <v>343</v>
      </c>
      <c r="F78" s="2" t="s">
        <v>344</v>
      </c>
      <c r="G78" s="2" t="s">
        <v>43</v>
      </c>
      <c r="H78" s="2" t="s">
        <v>44</v>
      </c>
      <c r="I78" s="2" t="s">
        <v>1245</v>
      </c>
      <c r="J78" s="2"/>
    </row>
    <row r="79" spans="1:10" ht="96" x14ac:dyDescent="0.2">
      <c r="A79" t="s">
        <v>345</v>
      </c>
      <c r="B79" s="2" t="s">
        <v>38</v>
      </c>
      <c r="C79" s="2" t="s">
        <v>39</v>
      </c>
      <c r="D79" s="2" t="s">
        <v>346</v>
      </c>
      <c r="E79" s="2" t="s">
        <v>347</v>
      </c>
      <c r="F79" s="2" t="s">
        <v>348</v>
      </c>
      <c r="G79" s="2" t="s">
        <v>43</v>
      </c>
      <c r="H79" s="2" t="s">
        <v>44</v>
      </c>
      <c r="I79" s="2" t="s">
        <v>1245</v>
      </c>
      <c r="J79" s="2"/>
    </row>
    <row r="80" spans="1:10" ht="144" x14ac:dyDescent="0.2">
      <c r="A80" t="s">
        <v>349</v>
      </c>
      <c r="B80" s="2" t="s">
        <v>38</v>
      </c>
      <c r="C80" s="2" t="s">
        <v>39</v>
      </c>
      <c r="D80" s="2" t="s">
        <v>350</v>
      </c>
      <c r="E80" s="2" t="s">
        <v>351</v>
      </c>
      <c r="F80" s="2" t="s">
        <v>352</v>
      </c>
      <c r="G80" s="2" t="s">
        <v>43</v>
      </c>
      <c r="H80" s="2" t="s">
        <v>44</v>
      </c>
      <c r="I80" s="2" t="s">
        <v>1245</v>
      </c>
      <c r="J80" s="2"/>
    </row>
    <row r="81" spans="1:10" ht="64" x14ac:dyDescent="0.2">
      <c r="A81" t="s">
        <v>353</v>
      </c>
      <c r="B81" s="2" t="s">
        <v>38</v>
      </c>
      <c r="C81" s="2" t="s">
        <v>39</v>
      </c>
      <c r="D81" s="2" t="s">
        <v>354</v>
      </c>
      <c r="E81" s="2" t="s">
        <v>355</v>
      </c>
      <c r="F81" s="2" t="s">
        <v>356</v>
      </c>
      <c r="G81" s="2" t="s">
        <v>43</v>
      </c>
      <c r="H81" s="2" t="s">
        <v>44</v>
      </c>
      <c r="I81" s="2" t="s">
        <v>1245</v>
      </c>
      <c r="J81" s="2"/>
    </row>
    <row r="82" spans="1:10" ht="96" x14ac:dyDescent="0.2">
      <c r="A82" t="s">
        <v>357</v>
      </c>
      <c r="B82" s="2" t="s">
        <v>38</v>
      </c>
      <c r="C82" s="2" t="s">
        <v>39</v>
      </c>
      <c r="D82" s="2" t="s">
        <v>358</v>
      </c>
      <c r="E82" s="2" t="s">
        <v>359</v>
      </c>
      <c r="F82" s="2" t="s">
        <v>360</v>
      </c>
      <c r="G82" s="2" t="s">
        <v>43</v>
      </c>
      <c r="H82" s="2" t="s">
        <v>44</v>
      </c>
      <c r="I82" s="2" t="s">
        <v>1245</v>
      </c>
      <c r="J82" s="2"/>
    </row>
    <row r="83" spans="1:10" ht="80" x14ac:dyDescent="0.2">
      <c r="A83" t="s">
        <v>361</v>
      </c>
      <c r="B83" s="2" t="s">
        <v>38</v>
      </c>
      <c r="C83" s="2" t="s">
        <v>39</v>
      </c>
      <c r="D83" s="2" t="s">
        <v>362</v>
      </c>
      <c r="E83" s="2" t="s">
        <v>363</v>
      </c>
      <c r="F83" s="2" t="s">
        <v>364</v>
      </c>
      <c r="G83" s="2" t="s">
        <v>43</v>
      </c>
      <c r="H83" s="2" t="s">
        <v>44</v>
      </c>
      <c r="I83" s="2" t="s">
        <v>1245</v>
      </c>
      <c r="J83" s="2"/>
    </row>
    <row r="84" spans="1:10" ht="80" x14ac:dyDescent="0.2">
      <c r="A84" t="s">
        <v>365</v>
      </c>
      <c r="B84" s="2" t="s">
        <v>38</v>
      </c>
      <c r="C84" s="2" t="s">
        <v>39</v>
      </c>
      <c r="D84" s="2" t="s">
        <v>366</v>
      </c>
      <c r="E84" s="2" t="s">
        <v>367</v>
      </c>
      <c r="F84" s="2" t="s">
        <v>368</v>
      </c>
      <c r="G84" s="2" t="s">
        <v>43</v>
      </c>
      <c r="H84" s="2" t="s">
        <v>44</v>
      </c>
      <c r="I84" s="2" t="s">
        <v>1245</v>
      </c>
      <c r="J84" s="2"/>
    </row>
    <row r="85" spans="1:10" ht="80" x14ac:dyDescent="0.2">
      <c r="A85" t="s">
        <v>369</v>
      </c>
      <c r="B85" s="2" t="s">
        <v>38</v>
      </c>
      <c r="C85" s="2" t="s">
        <v>39</v>
      </c>
      <c r="D85" s="2" t="s">
        <v>370</v>
      </c>
      <c r="E85" s="2" t="s">
        <v>371</v>
      </c>
      <c r="F85" s="2" t="s">
        <v>372</v>
      </c>
      <c r="G85" s="2" t="s">
        <v>43</v>
      </c>
      <c r="H85" s="2" t="s">
        <v>44</v>
      </c>
      <c r="I85" s="2" t="s">
        <v>1245</v>
      </c>
      <c r="J85" s="2"/>
    </row>
    <row r="86" spans="1:10" ht="96" x14ac:dyDescent="0.2">
      <c r="A86" t="s">
        <v>373</v>
      </c>
      <c r="B86" s="2" t="s">
        <v>38</v>
      </c>
      <c r="C86" s="2" t="s">
        <v>39</v>
      </c>
      <c r="D86" s="2" t="s">
        <v>374</v>
      </c>
      <c r="E86" s="2" t="s">
        <v>375</v>
      </c>
      <c r="F86" s="2" t="s">
        <v>376</v>
      </c>
      <c r="G86" s="2" t="s">
        <v>43</v>
      </c>
      <c r="H86" s="2" t="s">
        <v>44</v>
      </c>
      <c r="I86" s="2" t="s">
        <v>1245</v>
      </c>
      <c r="J86" s="2"/>
    </row>
    <row r="87" spans="1:10" ht="112" x14ac:dyDescent="0.2">
      <c r="A87" t="s">
        <v>377</v>
      </c>
      <c r="B87" s="2" t="s">
        <v>38</v>
      </c>
      <c r="C87" s="2" t="s">
        <v>39</v>
      </c>
      <c r="D87" s="2" t="s">
        <v>378</v>
      </c>
      <c r="E87" s="2" t="s">
        <v>379</v>
      </c>
      <c r="F87" s="2" t="s">
        <v>380</v>
      </c>
      <c r="G87" s="2" t="s">
        <v>43</v>
      </c>
      <c r="H87" s="2" t="s">
        <v>44</v>
      </c>
      <c r="I87" s="2" t="s">
        <v>1245</v>
      </c>
      <c r="J87" s="2"/>
    </row>
    <row r="88" spans="1:10" ht="112" x14ac:dyDescent="0.2">
      <c r="A88" t="s">
        <v>381</v>
      </c>
      <c r="B88" s="2" t="s">
        <v>38</v>
      </c>
      <c r="C88" s="2" t="s">
        <v>39</v>
      </c>
      <c r="D88" s="2" t="s">
        <v>382</v>
      </c>
      <c r="E88" s="2" t="s">
        <v>383</v>
      </c>
      <c r="F88" s="2" t="s">
        <v>384</v>
      </c>
      <c r="G88" s="2" t="s">
        <v>43</v>
      </c>
      <c r="H88" s="2" t="s">
        <v>44</v>
      </c>
      <c r="I88" s="2" t="s">
        <v>1245</v>
      </c>
      <c r="J88" s="2"/>
    </row>
    <row r="89" spans="1:10" ht="80" x14ac:dyDescent="0.2">
      <c r="A89" t="s">
        <v>385</v>
      </c>
      <c r="B89" s="2" t="s">
        <v>38</v>
      </c>
      <c r="C89" s="2" t="s">
        <v>39</v>
      </c>
      <c r="D89" s="2" t="s">
        <v>386</v>
      </c>
      <c r="E89" s="2" t="s">
        <v>387</v>
      </c>
      <c r="F89" s="2" t="s">
        <v>388</v>
      </c>
      <c r="G89" s="2" t="s">
        <v>43</v>
      </c>
      <c r="H89" s="2" t="s">
        <v>44</v>
      </c>
      <c r="I89" s="2" t="s">
        <v>1245</v>
      </c>
      <c r="J89" s="2"/>
    </row>
    <row r="90" spans="1:10" ht="112" x14ac:dyDescent="0.2">
      <c r="A90" t="s">
        <v>389</v>
      </c>
      <c r="B90" s="2" t="s">
        <v>38</v>
      </c>
      <c r="C90" s="2" t="s">
        <v>39</v>
      </c>
      <c r="D90" s="2" t="s">
        <v>390</v>
      </c>
      <c r="E90" s="2" t="s">
        <v>391</v>
      </c>
      <c r="F90" s="2" t="s">
        <v>392</v>
      </c>
      <c r="G90" s="2" t="s">
        <v>43</v>
      </c>
      <c r="H90" s="2" t="s">
        <v>44</v>
      </c>
      <c r="I90" s="2" t="s">
        <v>1245</v>
      </c>
      <c r="J90" s="2"/>
    </row>
    <row r="91" spans="1:10" ht="96" x14ac:dyDescent="0.2">
      <c r="A91" t="s">
        <v>393</v>
      </c>
      <c r="B91" s="2" t="s">
        <v>38</v>
      </c>
      <c r="C91" s="2" t="s">
        <v>39</v>
      </c>
      <c r="D91" s="2" t="s">
        <v>394</v>
      </c>
      <c r="E91" s="2" t="s">
        <v>395</v>
      </c>
      <c r="F91" s="2" t="s">
        <v>396</v>
      </c>
      <c r="G91" s="2" t="s">
        <v>43</v>
      </c>
      <c r="H91" s="2" t="s">
        <v>44</v>
      </c>
      <c r="I91" s="2" t="s">
        <v>1245</v>
      </c>
      <c r="J91" s="2"/>
    </row>
    <row r="92" spans="1:10" ht="96" x14ac:dyDescent="0.2">
      <c r="A92" t="s">
        <v>397</v>
      </c>
      <c r="B92" s="2" t="s">
        <v>38</v>
      </c>
      <c r="C92" s="2" t="s">
        <v>39</v>
      </c>
      <c r="D92" s="2" t="s">
        <v>398</v>
      </c>
      <c r="E92" s="2" t="s">
        <v>399</v>
      </c>
      <c r="F92" s="2" t="s">
        <v>400</v>
      </c>
      <c r="G92" s="2" t="s">
        <v>43</v>
      </c>
      <c r="H92" s="2" t="s">
        <v>44</v>
      </c>
      <c r="I92" s="2" t="s">
        <v>1245</v>
      </c>
      <c r="J92" s="2"/>
    </row>
    <row r="93" spans="1:10" ht="80" x14ac:dyDescent="0.2">
      <c r="A93" t="s">
        <v>401</v>
      </c>
      <c r="B93" s="2" t="s">
        <v>38</v>
      </c>
      <c r="C93" s="2" t="s">
        <v>39</v>
      </c>
      <c r="D93" s="2" t="s">
        <v>402</v>
      </c>
      <c r="E93" s="2" t="s">
        <v>403</v>
      </c>
      <c r="F93" s="2" t="s">
        <v>404</v>
      </c>
      <c r="G93" s="2" t="s">
        <v>43</v>
      </c>
      <c r="H93" s="2" t="s">
        <v>44</v>
      </c>
      <c r="I93" s="2" t="s">
        <v>1245</v>
      </c>
      <c r="J93" s="2"/>
    </row>
    <row r="94" spans="1:10" ht="80" x14ac:dyDescent="0.2">
      <c r="A94" t="s">
        <v>405</v>
      </c>
      <c r="B94" s="2" t="s">
        <v>38</v>
      </c>
      <c r="C94" s="2" t="s">
        <v>39</v>
      </c>
      <c r="D94" s="2" t="s">
        <v>406</v>
      </c>
      <c r="E94" s="2" t="s">
        <v>407</v>
      </c>
      <c r="F94" s="2" t="s">
        <v>408</v>
      </c>
      <c r="G94" s="2" t="s">
        <v>43</v>
      </c>
      <c r="H94" s="2" t="s">
        <v>44</v>
      </c>
      <c r="I94" s="2" t="s">
        <v>1245</v>
      </c>
      <c r="J94" s="2"/>
    </row>
    <row r="95" spans="1:10" ht="80" x14ac:dyDescent="0.2">
      <c r="A95" t="s">
        <v>409</v>
      </c>
      <c r="B95" s="2" t="s">
        <v>38</v>
      </c>
      <c r="C95" s="2" t="s">
        <v>39</v>
      </c>
      <c r="D95" s="2" t="s">
        <v>410</v>
      </c>
      <c r="E95" s="2" t="s">
        <v>411</v>
      </c>
      <c r="F95" s="2" t="s">
        <v>412</v>
      </c>
      <c r="G95" s="2" t="s">
        <v>43</v>
      </c>
      <c r="H95" s="2" t="s">
        <v>44</v>
      </c>
      <c r="I95" s="2" t="s">
        <v>1245</v>
      </c>
      <c r="J95" s="2"/>
    </row>
    <row r="96" spans="1:10" ht="96" x14ac:dyDescent="0.2">
      <c r="A96" t="s">
        <v>413</v>
      </c>
      <c r="B96" s="2" t="s">
        <v>38</v>
      </c>
      <c r="C96" s="2" t="s">
        <v>39</v>
      </c>
      <c r="D96" s="2" t="s">
        <v>414</v>
      </c>
      <c r="E96" s="2" t="s">
        <v>415</v>
      </c>
      <c r="F96" s="2" t="s">
        <v>416</v>
      </c>
      <c r="G96" s="2" t="s">
        <v>43</v>
      </c>
      <c r="H96" s="2" t="s">
        <v>44</v>
      </c>
      <c r="I96" s="2" t="s">
        <v>1245</v>
      </c>
      <c r="J96" s="2"/>
    </row>
    <row r="97" spans="1:10" ht="80" x14ac:dyDescent="0.2">
      <c r="A97" t="s">
        <v>417</v>
      </c>
      <c r="B97" s="2" t="s">
        <v>38</v>
      </c>
      <c r="C97" s="2" t="s">
        <v>39</v>
      </c>
      <c r="D97" s="2" t="s">
        <v>418</v>
      </c>
      <c r="E97" s="2" t="s">
        <v>419</v>
      </c>
      <c r="F97" s="2" t="s">
        <v>420</v>
      </c>
      <c r="G97" s="2" t="s">
        <v>43</v>
      </c>
      <c r="H97" s="2" t="s">
        <v>44</v>
      </c>
      <c r="I97" s="2" t="s">
        <v>1245</v>
      </c>
      <c r="J97" s="2"/>
    </row>
    <row r="98" spans="1:10" ht="80" x14ac:dyDescent="0.2">
      <c r="A98" t="s">
        <v>421</v>
      </c>
      <c r="B98" s="2" t="s">
        <v>38</v>
      </c>
      <c r="C98" s="2" t="s">
        <v>39</v>
      </c>
      <c r="D98" s="2" t="s">
        <v>422</v>
      </c>
      <c r="E98" s="2" t="s">
        <v>423</v>
      </c>
      <c r="F98" s="2" t="s">
        <v>424</v>
      </c>
      <c r="G98" s="2" t="s">
        <v>43</v>
      </c>
      <c r="H98" s="2" t="s">
        <v>44</v>
      </c>
      <c r="I98" s="2" t="s">
        <v>1245</v>
      </c>
      <c r="J98" s="2"/>
    </row>
    <row r="99" spans="1:10" ht="96" x14ac:dyDescent="0.2">
      <c r="A99" t="s">
        <v>425</v>
      </c>
      <c r="B99" s="2" t="s">
        <v>38</v>
      </c>
      <c r="C99" s="2" t="s">
        <v>39</v>
      </c>
      <c r="D99" s="2" t="s">
        <v>426</v>
      </c>
      <c r="E99" s="2" t="s">
        <v>427</v>
      </c>
      <c r="F99" s="2" t="s">
        <v>428</v>
      </c>
      <c r="G99" s="2" t="s">
        <v>43</v>
      </c>
      <c r="H99" s="2" t="s">
        <v>44</v>
      </c>
      <c r="I99" s="2" t="s">
        <v>1245</v>
      </c>
      <c r="J99" s="2"/>
    </row>
    <row r="100" spans="1:10" ht="112" x14ac:dyDescent="0.2">
      <c r="A100" t="s">
        <v>429</v>
      </c>
      <c r="B100" s="2" t="s">
        <v>38</v>
      </c>
      <c r="C100" s="2" t="s">
        <v>39</v>
      </c>
      <c r="D100" s="2" t="s">
        <v>430</v>
      </c>
      <c r="E100" s="2" t="s">
        <v>431</v>
      </c>
      <c r="F100" s="2" t="s">
        <v>432</v>
      </c>
      <c r="G100" s="2" t="s">
        <v>43</v>
      </c>
      <c r="H100" s="2" t="s">
        <v>44</v>
      </c>
      <c r="I100" s="2" t="s">
        <v>1245</v>
      </c>
      <c r="J100" s="2"/>
    </row>
    <row r="101" spans="1:10" ht="80" x14ac:dyDescent="0.2">
      <c r="A101" t="s">
        <v>433</v>
      </c>
      <c r="B101" s="2" t="s">
        <v>38</v>
      </c>
      <c r="C101" s="2" t="s">
        <v>39</v>
      </c>
      <c r="D101" s="2" t="s">
        <v>434</v>
      </c>
      <c r="E101" s="2" t="s">
        <v>435</v>
      </c>
      <c r="F101" s="2" t="s">
        <v>436</v>
      </c>
      <c r="G101" s="2" t="s">
        <v>43</v>
      </c>
      <c r="H101" s="2" t="s">
        <v>44</v>
      </c>
      <c r="I101" s="2" t="s">
        <v>1245</v>
      </c>
      <c r="J101" s="2"/>
    </row>
    <row r="102" spans="1:10" ht="64" x14ac:dyDescent="0.2">
      <c r="A102" t="s">
        <v>437</v>
      </c>
      <c r="B102" s="2" t="s">
        <v>38</v>
      </c>
      <c r="C102" s="2" t="s">
        <v>39</v>
      </c>
      <c r="D102" s="2" t="s">
        <v>438</v>
      </c>
      <c r="E102" s="2" t="s">
        <v>439</v>
      </c>
      <c r="F102" s="2" t="s">
        <v>440</v>
      </c>
      <c r="G102" s="2" t="s">
        <v>43</v>
      </c>
      <c r="H102" s="2" t="s">
        <v>44</v>
      </c>
      <c r="I102" s="2" t="s">
        <v>1245</v>
      </c>
      <c r="J102" s="2"/>
    </row>
    <row r="103" spans="1:10" ht="80" x14ac:dyDescent="0.2">
      <c r="A103" t="s">
        <v>441</v>
      </c>
      <c r="B103" s="2" t="s">
        <v>38</v>
      </c>
      <c r="C103" s="2" t="s">
        <v>39</v>
      </c>
      <c r="D103" s="2" t="s">
        <v>442</v>
      </c>
      <c r="E103" s="2" t="s">
        <v>443</v>
      </c>
      <c r="F103" s="2" t="s">
        <v>444</v>
      </c>
      <c r="G103" s="2" t="s">
        <v>43</v>
      </c>
      <c r="H103" s="2" t="s">
        <v>44</v>
      </c>
      <c r="I103" s="2" t="s">
        <v>1245</v>
      </c>
      <c r="J103" s="2"/>
    </row>
    <row r="104" spans="1:10" ht="80" x14ac:dyDescent="0.2">
      <c r="A104" t="s">
        <v>445</v>
      </c>
      <c r="B104" s="2" t="s">
        <v>38</v>
      </c>
      <c r="C104" s="2" t="s">
        <v>39</v>
      </c>
      <c r="D104" s="2" t="s">
        <v>446</v>
      </c>
      <c r="E104" s="2" t="s">
        <v>447</v>
      </c>
      <c r="F104" s="2" t="s">
        <v>448</v>
      </c>
      <c r="G104" s="2" t="s">
        <v>43</v>
      </c>
      <c r="H104" s="2" t="s">
        <v>44</v>
      </c>
      <c r="I104" s="2" t="s">
        <v>1245</v>
      </c>
      <c r="J104" s="2"/>
    </row>
    <row r="105" spans="1:10" ht="112" x14ac:dyDescent="0.2">
      <c r="A105" t="s">
        <v>449</v>
      </c>
      <c r="B105" s="2" t="s">
        <v>38</v>
      </c>
      <c r="C105" s="2" t="s">
        <v>39</v>
      </c>
      <c r="D105" s="2" t="s">
        <v>450</v>
      </c>
      <c r="E105" s="2" t="s">
        <v>451</v>
      </c>
      <c r="F105" s="2" t="s">
        <v>452</v>
      </c>
      <c r="G105" s="2" t="s">
        <v>43</v>
      </c>
      <c r="H105" s="2" t="s">
        <v>44</v>
      </c>
      <c r="I105" s="2" t="s">
        <v>1245</v>
      </c>
      <c r="J105" s="2"/>
    </row>
    <row r="106" spans="1:10" ht="64" x14ac:dyDescent="0.2">
      <c r="A106" t="s">
        <v>453</v>
      </c>
      <c r="B106" s="2" t="s">
        <v>38</v>
      </c>
      <c r="C106" s="2" t="s">
        <v>39</v>
      </c>
      <c r="D106" s="2" t="s">
        <v>454</v>
      </c>
      <c r="E106" s="2" t="s">
        <v>455</v>
      </c>
      <c r="F106" s="2" t="s">
        <v>456</v>
      </c>
      <c r="G106" s="2" t="s">
        <v>43</v>
      </c>
      <c r="H106" s="2" t="s">
        <v>44</v>
      </c>
      <c r="I106" s="2" t="s">
        <v>1245</v>
      </c>
      <c r="J106" s="2"/>
    </row>
    <row r="107" spans="1:10" ht="64" x14ac:dyDescent="0.2">
      <c r="A107" t="s">
        <v>457</v>
      </c>
      <c r="B107" s="2" t="s">
        <v>38</v>
      </c>
      <c r="C107" s="2" t="s">
        <v>39</v>
      </c>
      <c r="D107" s="2" t="s">
        <v>458</v>
      </c>
      <c r="E107" s="2" t="s">
        <v>459</v>
      </c>
      <c r="F107" s="2" t="s">
        <v>460</v>
      </c>
      <c r="G107" s="2" t="s">
        <v>43</v>
      </c>
      <c r="H107" s="2" t="s">
        <v>44</v>
      </c>
      <c r="I107" s="2" t="s">
        <v>1245</v>
      </c>
      <c r="J107" s="2"/>
    </row>
    <row r="108" spans="1:10" ht="64" x14ac:dyDescent="0.2">
      <c r="A108" t="s">
        <v>461</v>
      </c>
      <c r="B108" s="2" t="s">
        <v>38</v>
      </c>
      <c r="C108" s="2" t="s">
        <v>39</v>
      </c>
      <c r="D108" s="2" t="s">
        <v>462</v>
      </c>
      <c r="E108" s="2" t="s">
        <v>463</v>
      </c>
      <c r="F108" s="2" t="s">
        <v>464</v>
      </c>
      <c r="G108" s="2" t="s">
        <v>43</v>
      </c>
      <c r="H108" s="2" t="s">
        <v>44</v>
      </c>
      <c r="I108" s="2" t="s">
        <v>1245</v>
      </c>
      <c r="J108" s="2"/>
    </row>
    <row r="109" spans="1:10" ht="80" x14ac:dyDescent="0.2">
      <c r="A109" t="s">
        <v>465</v>
      </c>
      <c r="B109" s="2" t="s">
        <v>38</v>
      </c>
      <c r="C109" s="2" t="s">
        <v>39</v>
      </c>
      <c r="D109" s="2" t="s">
        <v>466</v>
      </c>
      <c r="E109" s="2" t="s">
        <v>467</v>
      </c>
      <c r="F109" s="2" t="s">
        <v>468</v>
      </c>
      <c r="G109" s="2" t="s">
        <v>43</v>
      </c>
      <c r="H109" s="2" t="s">
        <v>44</v>
      </c>
      <c r="I109" s="2" t="s">
        <v>1245</v>
      </c>
      <c r="J109" s="2"/>
    </row>
    <row r="110" spans="1:10" ht="80" x14ac:dyDescent="0.2">
      <c r="A110" t="s">
        <v>469</v>
      </c>
      <c r="B110" s="2" t="s">
        <v>38</v>
      </c>
      <c r="C110" s="2" t="s">
        <v>39</v>
      </c>
      <c r="D110" s="2" t="s">
        <v>470</v>
      </c>
      <c r="E110" s="2" t="s">
        <v>471</v>
      </c>
      <c r="F110" s="2" t="s">
        <v>472</v>
      </c>
      <c r="G110" s="2" t="s">
        <v>43</v>
      </c>
      <c r="H110" s="2" t="s">
        <v>44</v>
      </c>
      <c r="I110" s="2" t="s">
        <v>1245</v>
      </c>
      <c r="J110" s="2"/>
    </row>
    <row r="111" spans="1:10" ht="80" x14ac:dyDescent="0.2">
      <c r="A111" t="s">
        <v>473</v>
      </c>
      <c r="B111" s="2" t="s">
        <v>38</v>
      </c>
      <c r="C111" s="2" t="s">
        <v>39</v>
      </c>
      <c r="D111" s="2" t="s">
        <v>474</v>
      </c>
      <c r="E111" s="2" t="s">
        <v>475</v>
      </c>
      <c r="F111" s="2" t="s">
        <v>476</v>
      </c>
      <c r="G111" s="2" t="s">
        <v>43</v>
      </c>
      <c r="H111" s="2" t="s">
        <v>44</v>
      </c>
      <c r="I111" s="2" t="s">
        <v>1245</v>
      </c>
      <c r="J111" s="2"/>
    </row>
    <row r="112" spans="1:10" ht="80" x14ac:dyDescent="0.2">
      <c r="A112" t="s">
        <v>477</v>
      </c>
      <c r="B112" s="2" t="s">
        <v>38</v>
      </c>
      <c r="C112" s="2" t="s">
        <v>39</v>
      </c>
      <c r="D112" s="2" t="s">
        <v>478</v>
      </c>
      <c r="E112" s="2" t="s">
        <v>479</v>
      </c>
      <c r="F112" s="2" t="s">
        <v>480</v>
      </c>
      <c r="G112" s="2" t="s">
        <v>43</v>
      </c>
      <c r="H112" s="2" t="s">
        <v>44</v>
      </c>
      <c r="I112" s="2" t="s">
        <v>1245</v>
      </c>
      <c r="J112" s="2"/>
    </row>
    <row r="113" spans="1:10" ht="80" x14ac:dyDescent="0.2">
      <c r="A113" t="s">
        <v>481</v>
      </c>
      <c r="B113" s="2" t="s">
        <v>38</v>
      </c>
      <c r="C113" s="2" t="s">
        <v>39</v>
      </c>
      <c r="D113" s="2" t="s">
        <v>482</v>
      </c>
      <c r="E113" s="2" t="s">
        <v>483</v>
      </c>
      <c r="F113" s="2" t="s">
        <v>484</v>
      </c>
      <c r="G113" s="2" t="s">
        <v>43</v>
      </c>
      <c r="H113" s="2" t="s">
        <v>44</v>
      </c>
      <c r="I113" s="2" t="s">
        <v>1245</v>
      </c>
      <c r="J113" s="2"/>
    </row>
    <row r="114" spans="1:10" ht="96" x14ac:dyDescent="0.2">
      <c r="A114" t="s">
        <v>485</v>
      </c>
      <c r="B114" s="2" t="s">
        <v>38</v>
      </c>
      <c r="C114" s="2" t="s">
        <v>39</v>
      </c>
      <c r="D114" s="2" t="s">
        <v>486</v>
      </c>
      <c r="E114" s="2" t="s">
        <v>487</v>
      </c>
      <c r="F114" s="2" t="s">
        <v>488</v>
      </c>
      <c r="G114" s="2" t="s">
        <v>43</v>
      </c>
      <c r="H114" s="2" t="s">
        <v>44</v>
      </c>
      <c r="I114" s="2" t="s">
        <v>1245</v>
      </c>
      <c r="J114" s="2"/>
    </row>
    <row r="115" spans="1:10" ht="80" x14ac:dyDescent="0.2">
      <c r="A115" t="s">
        <v>489</v>
      </c>
      <c r="B115" s="2" t="s">
        <v>38</v>
      </c>
      <c r="C115" s="2" t="s">
        <v>39</v>
      </c>
      <c r="D115" s="2" t="s">
        <v>490</v>
      </c>
      <c r="E115" s="2" t="s">
        <v>491</v>
      </c>
      <c r="F115" s="2" t="s">
        <v>492</v>
      </c>
      <c r="G115" s="2" t="s">
        <v>43</v>
      </c>
      <c r="H115" s="2" t="s">
        <v>44</v>
      </c>
      <c r="I115" s="2" t="s">
        <v>1245</v>
      </c>
      <c r="J115" s="2"/>
    </row>
    <row r="116" spans="1:10" ht="128" x14ac:dyDescent="0.2">
      <c r="A116" t="s">
        <v>493</v>
      </c>
      <c r="B116" s="2" t="s">
        <v>38</v>
      </c>
      <c r="C116" s="2" t="s">
        <v>39</v>
      </c>
      <c r="D116" s="2" t="s">
        <v>494</v>
      </c>
      <c r="E116" s="2" t="s">
        <v>495</v>
      </c>
      <c r="F116" s="2" t="s">
        <v>496</v>
      </c>
      <c r="G116" s="2" t="s">
        <v>43</v>
      </c>
      <c r="H116" s="2" t="s">
        <v>44</v>
      </c>
      <c r="I116" s="2" t="s">
        <v>1245</v>
      </c>
      <c r="J116" s="2"/>
    </row>
    <row r="117" spans="1:10" ht="80" x14ac:dyDescent="0.2">
      <c r="A117" t="s">
        <v>497</v>
      </c>
      <c r="B117" s="2" t="s">
        <v>38</v>
      </c>
      <c r="C117" s="2" t="s">
        <v>39</v>
      </c>
      <c r="D117" s="2" t="s">
        <v>498</v>
      </c>
      <c r="E117" s="2" t="s">
        <v>499</v>
      </c>
      <c r="F117" s="2" t="s">
        <v>500</v>
      </c>
      <c r="G117" s="2" t="s">
        <v>43</v>
      </c>
      <c r="H117" s="2" t="s">
        <v>44</v>
      </c>
      <c r="I117" s="2" t="s">
        <v>1245</v>
      </c>
      <c r="J117" s="2"/>
    </row>
    <row r="118" spans="1:10" ht="80" x14ac:dyDescent="0.2">
      <c r="A118" t="s">
        <v>501</v>
      </c>
      <c r="B118" s="2" t="s">
        <v>38</v>
      </c>
      <c r="C118" s="2" t="s">
        <v>39</v>
      </c>
      <c r="D118" s="2" t="s">
        <v>502</v>
      </c>
      <c r="E118" s="2" t="s">
        <v>503</v>
      </c>
      <c r="F118" s="2" t="s">
        <v>504</v>
      </c>
      <c r="G118" s="2" t="s">
        <v>43</v>
      </c>
      <c r="H118" s="2" t="s">
        <v>44</v>
      </c>
      <c r="I118" s="2" t="s">
        <v>1245</v>
      </c>
      <c r="J118" s="2"/>
    </row>
    <row r="119" spans="1:10" ht="112" x14ac:dyDescent="0.2">
      <c r="A119" t="s">
        <v>505</v>
      </c>
      <c r="B119" s="2" t="s">
        <v>38</v>
      </c>
      <c r="C119" s="2" t="s">
        <v>39</v>
      </c>
      <c r="D119" s="2" t="s">
        <v>506</v>
      </c>
      <c r="E119" s="2" t="s">
        <v>507</v>
      </c>
      <c r="F119" s="2" t="s">
        <v>508</v>
      </c>
      <c r="G119" s="2" t="s">
        <v>43</v>
      </c>
      <c r="H119" s="2" t="s">
        <v>44</v>
      </c>
      <c r="I119" s="2" t="s">
        <v>1245</v>
      </c>
      <c r="J119" s="2"/>
    </row>
    <row r="120" spans="1:10" ht="96" x14ac:dyDescent="0.2">
      <c r="A120" t="s">
        <v>509</v>
      </c>
      <c r="B120" s="2" t="s">
        <v>38</v>
      </c>
      <c r="C120" s="2" t="s">
        <v>39</v>
      </c>
      <c r="D120" s="2" t="s">
        <v>510</v>
      </c>
      <c r="E120" s="2" t="s">
        <v>511</v>
      </c>
      <c r="F120" s="2" t="s">
        <v>512</v>
      </c>
      <c r="G120" s="2" t="s">
        <v>43</v>
      </c>
      <c r="H120" s="2" t="s">
        <v>44</v>
      </c>
      <c r="I120" s="2" t="s">
        <v>1245</v>
      </c>
      <c r="J120" s="2"/>
    </row>
    <row r="121" spans="1:10" ht="96" x14ac:dyDescent="0.2">
      <c r="A121" t="s">
        <v>513</v>
      </c>
      <c r="B121" s="2" t="s">
        <v>38</v>
      </c>
      <c r="C121" s="2" t="s">
        <v>39</v>
      </c>
      <c r="D121" s="2" t="s">
        <v>514</v>
      </c>
      <c r="E121" s="2" t="s">
        <v>515</v>
      </c>
      <c r="F121" s="2" t="s">
        <v>516</v>
      </c>
      <c r="G121" s="2" t="s">
        <v>43</v>
      </c>
      <c r="H121" s="2" t="s">
        <v>44</v>
      </c>
      <c r="I121" s="2" t="s">
        <v>1245</v>
      </c>
      <c r="J121" s="2"/>
    </row>
    <row r="122" spans="1:10" ht="112" x14ac:dyDescent="0.2">
      <c r="A122" t="s">
        <v>517</v>
      </c>
      <c r="B122" s="2" t="s">
        <v>38</v>
      </c>
      <c r="C122" s="2" t="s">
        <v>39</v>
      </c>
      <c r="D122" s="2" t="s">
        <v>518</v>
      </c>
      <c r="E122" s="2" t="s">
        <v>519</v>
      </c>
      <c r="F122" s="2" t="s">
        <v>520</v>
      </c>
      <c r="G122" s="2" t="s">
        <v>43</v>
      </c>
      <c r="H122" s="2" t="s">
        <v>44</v>
      </c>
      <c r="I122" s="2" t="s">
        <v>1245</v>
      </c>
      <c r="J122" s="2"/>
    </row>
    <row r="123" spans="1:10" ht="80" x14ac:dyDescent="0.2">
      <c r="A123" t="s">
        <v>521</v>
      </c>
      <c r="B123" s="2" t="s">
        <v>38</v>
      </c>
      <c r="C123" s="2" t="s">
        <v>39</v>
      </c>
      <c r="D123" s="2" t="s">
        <v>522</v>
      </c>
      <c r="E123" s="2" t="s">
        <v>523</v>
      </c>
      <c r="F123" s="2" t="s">
        <v>524</v>
      </c>
      <c r="G123" s="2" t="s">
        <v>43</v>
      </c>
      <c r="H123" s="2" t="s">
        <v>44</v>
      </c>
      <c r="I123" s="2" t="s">
        <v>1245</v>
      </c>
      <c r="J123" s="2"/>
    </row>
    <row r="124" spans="1:10" ht="96" x14ac:dyDescent="0.2">
      <c r="A124" t="s">
        <v>525</v>
      </c>
      <c r="B124" s="2" t="s">
        <v>38</v>
      </c>
      <c r="C124" s="2" t="s">
        <v>39</v>
      </c>
      <c r="D124" s="2" t="s">
        <v>526</v>
      </c>
      <c r="E124" s="2" t="s">
        <v>527</v>
      </c>
      <c r="F124" s="2" t="s">
        <v>512</v>
      </c>
      <c r="G124" s="2" t="s">
        <v>43</v>
      </c>
      <c r="H124" s="2" t="s">
        <v>44</v>
      </c>
      <c r="I124" s="2" t="s">
        <v>1245</v>
      </c>
      <c r="J124" s="2"/>
    </row>
    <row r="125" spans="1:10" ht="112" x14ac:dyDescent="0.2">
      <c r="A125" t="s">
        <v>528</v>
      </c>
      <c r="B125" s="2" t="s">
        <v>38</v>
      </c>
      <c r="C125" s="2" t="s">
        <v>39</v>
      </c>
      <c r="D125" s="2" t="s">
        <v>529</v>
      </c>
      <c r="E125" s="2" t="s">
        <v>530</v>
      </c>
      <c r="F125" s="2" t="s">
        <v>531</v>
      </c>
      <c r="G125" s="2" t="s">
        <v>43</v>
      </c>
      <c r="H125" s="2" t="s">
        <v>44</v>
      </c>
      <c r="I125" s="2" t="s">
        <v>1245</v>
      </c>
      <c r="J125" s="2"/>
    </row>
    <row r="126" spans="1:10" ht="96" x14ac:dyDescent="0.2">
      <c r="A126" t="s">
        <v>532</v>
      </c>
      <c r="B126" s="2" t="s">
        <v>38</v>
      </c>
      <c r="C126" s="2" t="s">
        <v>39</v>
      </c>
      <c r="D126" s="2" t="s">
        <v>533</v>
      </c>
      <c r="E126" s="2" t="s">
        <v>534</v>
      </c>
      <c r="F126" s="2" t="s">
        <v>535</v>
      </c>
      <c r="G126" s="2" t="s">
        <v>43</v>
      </c>
      <c r="H126" s="2" t="s">
        <v>44</v>
      </c>
      <c r="I126" s="2" t="s">
        <v>1245</v>
      </c>
      <c r="J126" s="2"/>
    </row>
    <row r="127" spans="1:10" ht="144" x14ac:dyDescent="0.2">
      <c r="A127" t="s">
        <v>536</v>
      </c>
      <c r="B127" s="2" t="s">
        <v>38</v>
      </c>
      <c r="C127" s="2" t="s">
        <v>39</v>
      </c>
      <c r="D127" s="2" t="s">
        <v>537</v>
      </c>
      <c r="E127" s="2" t="s">
        <v>538</v>
      </c>
      <c r="F127" s="2" t="s">
        <v>539</v>
      </c>
      <c r="G127" s="2" t="s">
        <v>43</v>
      </c>
      <c r="H127" s="2" t="s">
        <v>44</v>
      </c>
      <c r="I127" s="2" t="s">
        <v>1245</v>
      </c>
      <c r="J127" s="2"/>
    </row>
    <row r="128" spans="1:10" ht="112" x14ac:dyDescent="0.2">
      <c r="A128" t="s">
        <v>540</v>
      </c>
      <c r="B128" s="2" t="s">
        <v>38</v>
      </c>
      <c r="C128" s="2" t="s">
        <v>39</v>
      </c>
      <c r="D128" s="2" t="s">
        <v>541</v>
      </c>
      <c r="E128" s="2" t="s">
        <v>542</v>
      </c>
      <c r="F128" s="2" t="s">
        <v>543</v>
      </c>
      <c r="G128" s="2" t="s">
        <v>43</v>
      </c>
      <c r="H128" s="2" t="s">
        <v>44</v>
      </c>
      <c r="I128" s="2" t="s">
        <v>1245</v>
      </c>
      <c r="J128" s="2"/>
    </row>
    <row r="129" spans="1:10" ht="80" x14ac:dyDescent="0.2">
      <c r="A129" t="s">
        <v>544</v>
      </c>
      <c r="B129" s="2" t="s">
        <v>38</v>
      </c>
      <c r="C129" s="2" t="s">
        <v>39</v>
      </c>
      <c r="D129" s="2" t="s">
        <v>545</v>
      </c>
      <c r="E129" s="2" t="s">
        <v>546</v>
      </c>
      <c r="F129" s="2" t="s">
        <v>547</v>
      </c>
      <c r="G129" s="2" t="s">
        <v>43</v>
      </c>
      <c r="H129" s="2" t="s">
        <v>44</v>
      </c>
      <c r="I129" s="2" t="s">
        <v>1245</v>
      </c>
      <c r="J129" s="2"/>
    </row>
    <row r="130" spans="1:10" ht="64" x14ac:dyDescent="0.2">
      <c r="A130" t="s">
        <v>548</v>
      </c>
      <c r="B130" s="2" t="s">
        <v>38</v>
      </c>
      <c r="C130" s="2" t="s">
        <v>39</v>
      </c>
      <c r="D130" s="2" t="s">
        <v>549</v>
      </c>
      <c r="E130" s="2" t="s">
        <v>550</v>
      </c>
      <c r="F130" s="2" t="s">
        <v>551</v>
      </c>
      <c r="G130" s="2" t="s">
        <v>43</v>
      </c>
      <c r="H130" s="2" t="s">
        <v>44</v>
      </c>
      <c r="I130" s="2" t="s">
        <v>1245</v>
      </c>
      <c r="J130" s="2"/>
    </row>
    <row r="131" spans="1:10" ht="96" x14ac:dyDescent="0.2">
      <c r="A131" t="s">
        <v>552</v>
      </c>
      <c r="B131" s="2" t="s">
        <v>38</v>
      </c>
      <c r="C131" s="2" t="s">
        <v>39</v>
      </c>
      <c r="D131" s="2" t="s">
        <v>553</v>
      </c>
      <c r="E131" s="2" t="s">
        <v>554</v>
      </c>
      <c r="F131" s="2" t="s">
        <v>555</v>
      </c>
      <c r="G131" s="2" t="s">
        <v>43</v>
      </c>
      <c r="H131" s="2" t="s">
        <v>44</v>
      </c>
      <c r="I131" s="2" t="s">
        <v>1245</v>
      </c>
      <c r="J131" s="2"/>
    </row>
    <row r="132" spans="1:10" ht="128" x14ac:dyDescent="0.2">
      <c r="A132" t="s">
        <v>556</v>
      </c>
      <c r="B132" s="2" t="s">
        <v>38</v>
      </c>
      <c r="C132" s="2" t="s">
        <v>39</v>
      </c>
      <c r="D132" s="2" t="s">
        <v>557</v>
      </c>
      <c r="E132" s="2" t="s">
        <v>558</v>
      </c>
      <c r="F132" s="2" t="s">
        <v>559</v>
      </c>
      <c r="G132" s="2" t="s">
        <v>43</v>
      </c>
      <c r="H132" s="2" t="s">
        <v>44</v>
      </c>
      <c r="I132" s="2" t="s">
        <v>1245</v>
      </c>
      <c r="J132" s="2"/>
    </row>
    <row r="133" spans="1:10" ht="80" x14ac:dyDescent="0.2">
      <c r="A133" t="s">
        <v>560</v>
      </c>
      <c r="B133" s="2" t="s">
        <v>38</v>
      </c>
      <c r="C133" s="2" t="s">
        <v>39</v>
      </c>
      <c r="D133" s="2" t="s">
        <v>561</v>
      </c>
      <c r="E133" s="2" t="s">
        <v>562</v>
      </c>
      <c r="F133" s="2" t="s">
        <v>563</v>
      </c>
      <c r="G133" s="2" t="s">
        <v>43</v>
      </c>
      <c r="H133" s="2" t="s">
        <v>44</v>
      </c>
      <c r="I133" s="2" t="s">
        <v>1245</v>
      </c>
      <c r="J133" s="2"/>
    </row>
    <row r="134" spans="1:10" ht="80" x14ac:dyDescent="0.2">
      <c r="A134" t="s">
        <v>564</v>
      </c>
      <c r="B134" s="2" t="s">
        <v>38</v>
      </c>
      <c r="C134" s="2" t="s">
        <v>39</v>
      </c>
      <c r="D134" s="2" t="s">
        <v>565</v>
      </c>
      <c r="E134" s="2" t="s">
        <v>566</v>
      </c>
      <c r="F134" s="2" t="s">
        <v>567</v>
      </c>
      <c r="G134" s="2" t="s">
        <v>43</v>
      </c>
      <c r="H134" s="2" t="s">
        <v>44</v>
      </c>
      <c r="I134" s="2" t="s">
        <v>1245</v>
      </c>
      <c r="J134" s="2"/>
    </row>
    <row r="135" spans="1:10" ht="96" x14ac:dyDescent="0.2">
      <c r="A135" t="s">
        <v>568</v>
      </c>
      <c r="B135" s="2" t="s">
        <v>38</v>
      </c>
      <c r="C135" s="2" t="s">
        <v>39</v>
      </c>
      <c r="D135" s="2" t="s">
        <v>569</v>
      </c>
      <c r="E135" s="2" t="s">
        <v>570</v>
      </c>
      <c r="F135" s="2" t="s">
        <v>571</v>
      </c>
      <c r="G135" s="2" t="s">
        <v>43</v>
      </c>
      <c r="H135" s="2" t="s">
        <v>44</v>
      </c>
      <c r="I135" s="2" t="s">
        <v>1245</v>
      </c>
      <c r="J135" s="2"/>
    </row>
    <row r="136" spans="1:10" ht="80" x14ac:dyDescent="0.2">
      <c r="A136" t="s">
        <v>572</v>
      </c>
      <c r="B136" s="2" t="s">
        <v>38</v>
      </c>
      <c r="C136" s="2" t="s">
        <v>39</v>
      </c>
      <c r="D136" s="2" t="s">
        <v>573</v>
      </c>
      <c r="E136" s="2" t="s">
        <v>574</v>
      </c>
      <c r="F136" s="2" t="s">
        <v>575</v>
      </c>
      <c r="G136" s="2" t="s">
        <v>43</v>
      </c>
      <c r="H136" s="2" t="s">
        <v>44</v>
      </c>
      <c r="I136" s="2" t="s">
        <v>1245</v>
      </c>
      <c r="J136" s="2"/>
    </row>
    <row r="137" spans="1:10" ht="80" x14ac:dyDescent="0.2">
      <c r="A137" t="s">
        <v>576</v>
      </c>
      <c r="B137" s="2" t="s">
        <v>38</v>
      </c>
      <c r="C137" s="2" t="s">
        <v>39</v>
      </c>
      <c r="D137" s="2" t="s">
        <v>577</v>
      </c>
      <c r="E137" s="2" t="s">
        <v>578</v>
      </c>
      <c r="F137" s="2" t="s">
        <v>579</v>
      </c>
      <c r="G137" s="2" t="s">
        <v>43</v>
      </c>
      <c r="H137" s="2" t="s">
        <v>44</v>
      </c>
      <c r="I137" s="2" t="s">
        <v>1245</v>
      </c>
      <c r="J137" s="2"/>
    </row>
    <row r="138" spans="1:10" ht="80" x14ac:dyDescent="0.2">
      <c r="A138" t="s">
        <v>580</v>
      </c>
      <c r="B138" s="2" t="s">
        <v>38</v>
      </c>
      <c r="C138" s="2" t="s">
        <v>39</v>
      </c>
      <c r="D138" s="2" t="s">
        <v>581</v>
      </c>
      <c r="E138" s="2" t="s">
        <v>582</v>
      </c>
      <c r="F138" s="2" t="s">
        <v>583</v>
      </c>
      <c r="G138" s="2" t="s">
        <v>43</v>
      </c>
      <c r="H138" s="2" t="s">
        <v>44</v>
      </c>
      <c r="I138" s="2" t="s">
        <v>1245</v>
      </c>
      <c r="J138" s="2"/>
    </row>
    <row r="139" spans="1:10" ht="96" x14ac:dyDescent="0.2">
      <c r="A139" t="s">
        <v>584</v>
      </c>
      <c r="B139" s="2" t="s">
        <v>38</v>
      </c>
      <c r="C139" s="2" t="s">
        <v>39</v>
      </c>
      <c r="D139" s="2" t="s">
        <v>585</v>
      </c>
      <c r="E139" s="2" t="s">
        <v>586</v>
      </c>
      <c r="F139" s="2" t="s">
        <v>587</v>
      </c>
      <c r="G139" s="2" t="s">
        <v>43</v>
      </c>
      <c r="H139" s="2" t="s">
        <v>44</v>
      </c>
      <c r="I139" s="2" t="s">
        <v>1245</v>
      </c>
      <c r="J139" s="2"/>
    </row>
    <row r="140" spans="1:10" ht="64" x14ac:dyDescent="0.2">
      <c r="A140" t="s">
        <v>588</v>
      </c>
      <c r="B140" s="2" t="s">
        <v>38</v>
      </c>
      <c r="C140" s="2" t="s">
        <v>39</v>
      </c>
      <c r="D140" s="2" t="s">
        <v>589</v>
      </c>
      <c r="E140" s="2" t="s">
        <v>590</v>
      </c>
      <c r="F140" s="2" t="s">
        <v>591</v>
      </c>
      <c r="G140" s="2" t="s">
        <v>43</v>
      </c>
      <c r="H140" s="2" t="s">
        <v>44</v>
      </c>
      <c r="I140" s="2" t="s">
        <v>1245</v>
      </c>
      <c r="J140" s="2"/>
    </row>
    <row r="141" spans="1:10" ht="80" x14ac:dyDescent="0.2">
      <c r="A141" t="s">
        <v>592</v>
      </c>
      <c r="B141" s="2" t="s">
        <v>38</v>
      </c>
      <c r="C141" s="2" t="s">
        <v>39</v>
      </c>
      <c r="D141" s="2" t="s">
        <v>593</v>
      </c>
      <c r="E141" s="2" t="s">
        <v>594</v>
      </c>
      <c r="F141" s="2" t="s">
        <v>595</v>
      </c>
      <c r="G141" s="2" t="s">
        <v>43</v>
      </c>
      <c r="H141" s="2" t="s">
        <v>44</v>
      </c>
      <c r="I141" s="2" t="s">
        <v>1245</v>
      </c>
      <c r="J141" s="2"/>
    </row>
    <row r="142" spans="1:10" ht="64" x14ac:dyDescent="0.2">
      <c r="A142" t="s">
        <v>596</v>
      </c>
      <c r="B142" s="2" t="s">
        <v>38</v>
      </c>
      <c r="C142" s="2" t="s">
        <v>39</v>
      </c>
      <c r="D142" s="2" t="s">
        <v>597</v>
      </c>
      <c r="E142" s="2" t="s">
        <v>598</v>
      </c>
      <c r="F142" s="2" t="s">
        <v>599</v>
      </c>
      <c r="G142" s="2" t="s">
        <v>43</v>
      </c>
      <c r="H142" s="2" t="s">
        <v>44</v>
      </c>
      <c r="I142" s="2" t="s">
        <v>1245</v>
      </c>
      <c r="J142" s="2"/>
    </row>
    <row r="143" spans="1:10" ht="64" x14ac:dyDescent="0.2">
      <c r="A143" t="s">
        <v>600</v>
      </c>
      <c r="B143" s="2" t="s">
        <v>38</v>
      </c>
      <c r="C143" s="2" t="s">
        <v>39</v>
      </c>
      <c r="D143" s="2" t="s">
        <v>601</v>
      </c>
      <c r="E143" s="2" t="s">
        <v>602</v>
      </c>
      <c r="F143" s="2" t="s">
        <v>603</v>
      </c>
      <c r="G143" s="2" t="s">
        <v>43</v>
      </c>
      <c r="H143" s="2" t="s">
        <v>44</v>
      </c>
      <c r="I143" s="2" t="s">
        <v>1245</v>
      </c>
      <c r="J143" s="2"/>
    </row>
    <row r="144" spans="1:10" ht="96" x14ac:dyDescent="0.2">
      <c r="A144" t="s">
        <v>604</v>
      </c>
      <c r="B144" s="2" t="s">
        <v>38</v>
      </c>
      <c r="C144" s="2" t="s">
        <v>39</v>
      </c>
      <c r="D144" s="2" t="s">
        <v>605</v>
      </c>
      <c r="E144" s="2" t="s">
        <v>606</v>
      </c>
      <c r="F144" s="2" t="s">
        <v>607</v>
      </c>
      <c r="G144" s="2" t="s">
        <v>43</v>
      </c>
      <c r="H144" s="2" t="s">
        <v>44</v>
      </c>
      <c r="I144" s="2" t="s">
        <v>1245</v>
      </c>
      <c r="J144" s="2"/>
    </row>
    <row r="145" spans="1:10" ht="64" x14ac:dyDescent="0.2">
      <c r="A145" t="s">
        <v>608</v>
      </c>
      <c r="B145" s="2" t="s">
        <v>38</v>
      </c>
      <c r="C145" s="2" t="s">
        <v>39</v>
      </c>
      <c r="D145" s="2" t="s">
        <v>609</v>
      </c>
      <c r="E145" s="2" t="s">
        <v>610</v>
      </c>
      <c r="F145" s="2" t="s">
        <v>611</v>
      </c>
      <c r="G145" s="2" t="s">
        <v>43</v>
      </c>
      <c r="H145" s="2" t="s">
        <v>44</v>
      </c>
      <c r="I145" s="2" t="s">
        <v>1245</v>
      </c>
      <c r="J145" s="2"/>
    </row>
    <row r="146" spans="1:10" ht="64" x14ac:dyDescent="0.2">
      <c r="A146" t="s">
        <v>612</v>
      </c>
      <c r="B146" s="2" t="s">
        <v>38</v>
      </c>
      <c r="C146" s="2" t="s">
        <v>39</v>
      </c>
      <c r="D146" s="2" t="s">
        <v>613</v>
      </c>
      <c r="E146" s="2" t="s">
        <v>614</v>
      </c>
      <c r="F146" s="2" t="s">
        <v>615</v>
      </c>
      <c r="G146" s="2" t="s">
        <v>43</v>
      </c>
      <c r="H146" s="2" t="s">
        <v>44</v>
      </c>
      <c r="I146" s="2" t="s">
        <v>1245</v>
      </c>
      <c r="J146" s="2"/>
    </row>
    <row r="147" spans="1:10" ht="80" x14ac:dyDescent="0.2">
      <c r="A147" t="s">
        <v>616</v>
      </c>
      <c r="B147" s="2" t="s">
        <v>38</v>
      </c>
      <c r="C147" s="2" t="s">
        <v>39</v>
      </c>
      <c r="D147" s="2" t="s">
        <v>617</v>
      </c>
      <c r="E147" s="2" t="s">
        <v>618</v>
      </c>
      <c r="F147" s="2" t="s">
        <v>619</v>
      </c>
      <c r="G147" s="2" t="s">
        <v>43</v>
      </c>
      <c r="H147" s="2" t="s">
        <v>44</v>
      </c>
      <c r="I147" s="2" t="s">
        <v>1245</v>
      </c>
      <c r="J147" s="2"/>
    </row>
    <row r="148" spans="1:10" ht="96" x14ac:dyDescent="0.2">
      <c r="A148" t="s">
        <v>620</v>
      </c>
      <c r="B148" s="2" t="s">
        <v>38</v>
      </c>
      <c r="C148" s="2" t="s">
        <v>39</v>
      </c>
      <c r="D148" s="2" t="s">
        <v>621</v>
      </c>
      <c r="E148" s="2" t="s">
        <v>622</v>
      </c>
      <c r="F148" s="2" t="s">
        <v>623</v>
      </c>
      <c r="G148" s="2" t="s">
        <v>43</v>
      </c>
      <c r="H148" s="2" t="s">
        <v>44</v>
      </c>
      <c r="I148" s="2" t="s">
        <v>1245</v>
      </c>
      <c r="J148" s="2"/>
    </row>
    <row r="149" spans="1:10" ht="96" x14ac:dyDescent="0.2">
      <c r="A149" t="s">
        <v>624</v>
      </c>
      <c r="B149" s="2" t="s">
        <v>38</v>
      </c>
      <c r="C149" s="2" t="s">
        <v>39</v>
      </c>
      <c r="D149" s="2" t="s">
        <v>625</v>
      </c>
      <c r="E149" s="2" t="s">
        <v>626</v>
      </c>
      <c r="F149" s="2" t="s">
        <v>627</v>
      </c>
      <c r="G149" s="2" t="s">
        <v>43</v>
      </c>
      <c r="H149" s="2" t="s">
        <v>44</v>
      </c>
      <c r="I149" s="2" t="s">
        <v>1245</v>
      </c>
      <c r="J149" s="2"/>
    </row>
    <row r="150" spans="1:10" ht="128" x14ac:dyDescent="0.2">
      <c r="A150" t="s">
        <v>628</v>
      </c>
      <c r="B150" s="2" t="s">
        <v>38</v>
      </c>
      <c r="C150" s="2" t="s">
        <v>39</v>
      </c>
      <c r="D150" s="2" t="s">
        <v>629</v>
      </c>
      <c r="E150" s="2" t="s">
        <v>630</v>
      </c>
      <c r="F150" s="2" t="s">
        <v>631</v>
      </c>
      <c r="G150" s="2" t="s">
        <v>43</v>
      </c>
      <c r="H150" s="2" t="s">
        <v>44</v>
      </c>
      <c r="I150" s="2" t="s">
        <v>1245</v>
      </c>
      <c r="J150" s="2"/>
    </row>
    <row r="151" spans="1:10" ht="96" x14ac:dyDescent="0.2">
      <c r="A151" t="s">
        <v>632</v>
      </c>
      <c r="B151" s="2" t="s">
        <v>38</v>
      </c>
      <c r="C151" s="2" t="s">
        <v>39</v>
      </c>
      <c r="D151" s="2" t="s">
        <v>633</v>
      </c>
      <c r="E151" s="2" t="s">
        <v>634</v>
      </c>
      <c r="F151" s="2" t="s">
        <v>396</v>
      </c>
      <c r="G151" s="2" t="s">
        <v>43</v>
      </c>
      <c r="H151" s="2" t="s">
        <v>44</v>
      </c>
      <c r="I151" s="2" t="s">
        <v>1245</v>
      </c>
      <c r="J151" s="2"/>
    </row>
    <row r="152" spans="1:10" ht="80" x14ac:dyDescent="0.2">
      <c r="A152" t="s">
        <v>635</v>
      </c>
      <c r="B152" s="2" t="s">
        <v>38</v>
      </c>
      <c r="C152" s="2" t="s">
        <v>39</v>
      </c>
      <c r="D152" s="2" t="s">
        <v>636</v>
      </c>
      <c r="E152" s="2" t="s">
        <v>637</v>
      </c>
      <c r="F152" s="2" t="s">
        <v>638</v>
      </c>
      <c r="G152" s="2" t="s">
        <v>43</v>
      </c>
      <c r="H152" s="2" t="s">
        <v>44</v>
      </c>
      <c r="I152" s="2" t="s">
        <v>1245</v>
      </c>
      <c r="J152" s="2"/>
    </row>
    <row r="153" spans="1:10" ht="128" x14ac:dyDescent="0.2">
      <c r="A153" t="s">
        <v>639</v>
      </c>
      <c r="B153" s="2" t="s">
        <v>38</v>
      </c>
      <c r="C153" s="2" t="s">
        <v>39</v>
      </c>
      <c r="D153" s="2" t="s">
        <v>640</v>
      </c>
      <c r="E153" s="2" t="s">
        <v>641</v>
      </c>
      <c r="F153" s="2" t="s">
        <v>642</v>
      </c>
      <c r="G153" s="2" t="s">
        <v>43</v>
      </c>
      <c r="H153" s="2" t="s">
        <v>44</v>
      </c>
      <c r="I153" s="2" t="s">
        <v>1245</v>
      </c>
      <c r="J153" s="2"/>
    </row>
    <row r="154" spans="1:10" ht="80" x14ac:dyDescent="0.2">
      <c r="A154" t="s">
        <v>643</v>
      </c>
      <c r="B154" s="2" t="s">
        <v>38</v>
      </c>
      <c r="C154" s="2" t="s">
        <v>39</v>
      </c>
      <c r="D154" s="2" t="s">
        <v>644</v>
      </c>
      <c r="E154" s="2" t="s">
        <v>645</v>
      </c>
      <c r="F154" s="2" t="s">
        <v>646</v>
      </c>
      <c r="G154" s="2" t="s">
        <v>43</v>
      </c>
      <c r="H154" s="2" t="s">
        <v>44</v>
      </c>
      <c r="I154" s="2" t="s">
        <v>1245</v>
      </c>
      <c r="J154" s="2"/>
    </row>
    <row r="155" spans="1:10" ht="64" x14ac:dyDescent="0.2">
      <c r="A155" t="s">
        <v>647</v>
      </c>
      <c r="B155" s="2" t="s">
        <v>38</v>
      </c>
      <c r="C155" s="2" t="s">
        <v>39</v>
      </c>
      <c r="D155" s="2" t="s">
        <v>648</v>
      </c>
      <c r="E155" s="2" t="s">
        <v>649</v>
      </c>
      <c r="F155" s="2" t="s">
        <v>650</v>
      </c>
      <c r="G155" s="2" t="s">
        <v>43</v>
      </c>
      <c r="H155" s="2" t="s">
        <v>44</v>
      </c>
      <c r="I155" s="2" t="s">
        <v>1245</v>
      </c>
      <c r="J155" s="2"/>
    </row>
    <row r="156" spans="1:10" ht="96" x14ac:dyDescent="0.2">
      <c r="A156" t="s">
        <v>651</v>
      </c>
      <c r="B156" s="2" t="s">
        <v>38</v>
      </c>
      <c r="C156" s="2" t="s">
        <v>39</v>
      </c>
      <c r="D156" s="2" t="s">
        <v>652</v>
      </c>
      <c r="E156" s="2" t="s">
        <v>653</v>
      </c>
      <c r="F156" s="2" t="s">
        <v>654</v>
      </c>
      <c r="G156" s="2" t="s">
        <v>43</v>
      </c>
      <c r="H156" s="2" t="s">
        <v>44</v>
      </c>
      <c r="I156" s="2" t="s">
        <v>1245</v>
      </c>
      <c r="J156" s="2"/>
    </row>
    <row r="157" spans="1:10" ht="64" x14ac:dyDescent="0.2">
      <c r="A157" t="s">
        <v>655</v>
      </c>
      <c r="B157" s="2" t="s">
        <v>38</v>
      </c>
      <c r="C157" s="2" t="s">
        <v>39</v>
      </c>
      <c r="D157" s="2" t="s">
        <v>656</v>
      </c>
      <c r="E157" s="2" t="s">
        <v>657</v>
      </c>
      <c r="F157" s="2" t="s">
        <v>658</v>
      </c>
      <c r="G157" s="2" t="s">
        <v>43</v>
      </c>
      <c r="H157" s="2" t="s">
        <v>44</v>
      </c>
      <c r="I157" s="2" t="s">
        <v>1245</v>
      </c>
      <c r="J157" s="2"/>
    </row>
    <row r="158" spans="1:10" ht="64" x14ac:dyDescent="0.2">
      <c r="A158" t="s">
        <v>659</v>
      </c>
      <c r="B158" s="2" t="s">
        <v>38</v>
      </c>
      <c r="C158" s="2" t="s">
        <v>39</v>
      </c>
      <c r="D158" s="2" t="s">
        <v>660</v>
      </c>
      <c r="E158" s="2" t="s">
        <v>661</v>
      </c>
      <c r="F158" s="2" t="s">
        <v>662</v>
      </c>
      <c r="G158" s="2" t="s">
        <v>43</v>
      </c>
      <c r="H158" s="2" t="s">
        <v>44</v>
      </c>
      <c r="I158" s="2" t="s">
        <v>1245</v>
      </c>
      <c r="J158" s="2"/>
    </row>
    <row r="159" spans="1:10" ht="80" x14ac:dyDescent="0.2">
      <c r="A159" t="s">
        <v>663</v>
      </c>
      <c r="B159" s="2" t="s">
        <v>38</v>
      </c>
      <c r="C159" s="2" t="s">
        <v>39</v>
      </c>
      <c r="D159" s="2" t="s">
        <v>664</v>
      </c>
      <c r="E159" s="2" t="s">
        <v>665</v>
      </c>
      <c r="F159" s="2" t="s">
        <v>666</v>
      </c>
      <c r="G159" s="2" t="s">
        <v>43</v>
      </c>
      <c r="H159" s="2" t="s">
        <v>44</v>
      </c>
      <c r="I159" s="2" t="s">
        <v>1245</v>
      </c>
      <c r="J159" s="2"/>
    </row>
    <row r="160" spans="1:10" ht="80" x14ac:dyDescent="0.2">
      <c r="A160" t="s">
        <v>667</v>
      </c>
      <c r="B160" s="2" t="s">
        <v>38</v>
      </c>
      <c r="C160" s="2" t="s">
        <v>39</v>
      </c>
      <c r="D160" s="2" t="s">
        <v>668</v>
      </c>
      <c r="E160" s="2" t="s">
        <v>669</v>
      </c>
      <c r="F160" s="2" t="s">
        <v>670</v>
      </c>
      <c r="G160" s="2" t="s">
        <v>43</v>
      </c>
      <c r="H160" s="2" t="s">
        <v>44</v>
      </c>
      <c r="I160" s="2" t="s">
        <v>1245</v>
      </c>
      <c r="J160" s="2"/>
    </row>
    <row r="161" spans="1:10" ht="64" x14ac:dyDescent="0.2">
      <c r="A161" t="s">
        <v>671</v>
      </c>
      <c r="B161" s="2" t="s">
        <v>38</v>
      </c>
      <c r="C161" s="2" t="s">
        <v>39</v>
      </c>
      <c r="D161" s="2" t="s">
        <v>672</v>
      </c>
      <c r="E161" s="2" t="s">
        <v>673</v>
      </c>
      <c r="F161" s="2" t="s">
        <v>674</v>
      </c>
      <c r="G161" s="2" t="s">
        <v>43</v>
      </c>
      <c r="H161" s="2" t="s">
        <v>44</v>
      </c>
      <c r="I161" s="2" t="s">
        <v>1245</v>
      </c>
      <c r="J161" s="2"/>
    </row>
    <row r="162" spans="1:10" ht="96" x14ac:dyDescent="0.2">
      <c r="A162" t="s">
        <v>675</v>
      </c>
      <c r="B162" s="2" t="s">
        <v>38</v>
      </c>
      <c r="C162" s="2" t="s">
        <v>39</v>
      </c>
      <c r="D162" s="2" t="s">
        <v>676</v>
      </c>
      <c r="E162" s="2" t="s">
        <v>677</v>
      </c>
      <c r="F162" s="2" t="s">
        <v>678</v>
      </c>
      <c r="G162" s="2" t="s">
        <v>43</v>
      </c>
      <c r="H162" s="2" t="s">
        <v>44</v>
      </c>
      <c r="I162" s="2" t="s">
        <v>1245</v>
      </c>
      <c r="J162" s="2"/>
    </row>
    <row r="163" spans="1:10" ht="80" x14ac:dyDescent="0.2">
      <c r="A163" t="s">
        <v>679</v>
      </c>
      <c r="B163" s="2" t="s">
        <v>38</v>
      </c>
      <c r="C163" s="2" t="s">
        <v>39</v>
      </c>
      <c r="D163" s="2" t="s">
        <v>680</v>
      </c>
      <c r="E163" s="2" t="s">
        <v>681</v>
      </c>
      <c r="F163" s="2" t="s">
        <v>682</v>
      </c>
      <c r="G163" s="2" t="s">
        <v>43</v>
      </c>
      <c r="H163" s="2" t="s">
        <v>44</v>
      </c>
      <c r="I163" s="2" t="s">
        <v>1245</v>
      </c>
      <c r="J163" s="2"/>
    </row>
    <row r="164" spans="1:10" ht="80" x14ac:dyDescent="0.2">
      <c r="A164" t="s">
        <v>683</v>
      </c>
      <c r="B164" s="2" t="s">
        <v>38</v>
      </c>
      <c r="C164" s="2" t="s">
        <v>39</v>
      </c>
      <c r="D164" s="2" t="s">
        <v>684</v>
      </c>
      <c r="E164" s="2" t="s">
        <v>685</v>
      </c>
      <c r="F164" s="2" t="s">
        <v>686</v>
      </c>
      <c r="G164" s="2" t="s">
        <v>43</v>
      </c>
      <c r="H164" s="2" t="s">
        <v>44</v>
      </c>
      <c r="I164" s="2" t="s">
        <v>1245</v>
      </c>
      <c r="J164" s="2"/>
    </row>
    <row r="165" spans="1:10" ht="80" x14ac:dyDescent="0.2">
      <c r="A165" t="s">
        <v>687</v>
      </c>
      <c r="B165" s="2" t="s">
        <v>38</v>
      </c>
      <c r="C165" s="2" t="s">
        <v>39</v>
      </c>
      <c r="D165" s="2" t="s">
        <v>688</v>
      </c>
      <c r="E165" s="2" t="s">
        <v>689</v>
      </c>
      <c r="F165" s="2" t="s">
        <v>690</v>
      </c>
      <c r="G165" s="2" t="s">
        <v>43</v>
      </c>
      <c r="H165" s="2" t="s">
        <v>44</v>
      </c>
      <c r="I165" s="2" t="s">
        <v>1245</v>
      </c>
      <c r="J165" s="2"/>
    </row>
    <row r="166" spans="1:10" ht="80" x14ac:dyDescent="0.2">
      <c r="A166" t="s">
        <v>691</v>
      </c>
      <c r="B166" s="2" t="s">
        <v>38</v>
      </c>
      <c r="C166" s="2" t="s">
        <v>39</v>
      </c>
      <c r="D166" s="2" t="s">
        <v>692</v>
      </c>
      <c r="E166" s="2" t="s">
        <v>693</v>
      </c>
      <c r="F166" s="2" t="s">
        <v>694</v>
      </c>
      <c r="G166" s="2" t="s">
        <v>43</v>
      </c>
      <c r="H166" s="2" t="s">
        <v>44</v>
      </c>
      <c r="I166" s="2" t="s">
        <v>1245</v>
      </c>
      <c r="J166" s="2"/>
    </row>
    <row r="167" spans="1:10" ht="64" x14ac:dyDescent="0.2">
      <c r="A167" t="s">
        <v>695</v>
      </c>
      <c r="B167" s="2" t="s">
        <v>38</v>
      </c>
      <c r="C167" s="2" t="s">
        <v>39</v>
      </c>
      <c r="D167" s="2" t="s">
        <v>696</v>
      </c>
      <c r="E167" s="2" t="s">
        <v>697</v>
      </c>
      <c r="F167" s="2" t="s">
        <v>698</v>
      </c>
      <c r="G167" s="2" t="s">
        <v>43</v>
      </c>
      <c r="H167" s="2" t="s">
        <v>44</v>
      </c>
      <c r="I167" s="2" t="s">
        <v>1245</v>
      </c>
      <c r="J167" s="2"/>
    </row>
    <row r="168" spans="1:10" ht="112" x14ac:dyDescent="0.2">
      <c r="A168" t="s">
        <v>699</v>
      </c>
      <c r="B168" s="2" t="s">
        <v>38</v>
      </c>
      <c r="C168" s="2" t="s">
        <v>39</v>
      </c>
      <c r="D168" s="2" t="s">
        <v>700</v>
      </c>
      <c r="E168" s="2" t="s">
        <v>701</v>
      </c>
      <c r="F168" s="2" t="s">
        <v>702</v>
      </c>
      <c r="G168" s="2" t="s">
        <v>43</v>
      </c>
      <c r="H168" s="2" t="s">
        <v>44</v>
      </c>
      <c r="I168" s="2" t="s">
        <v>1245</v>
      </c>
      <c r="J168" s="2"/>
    </row>
    <row r="169" spans="1:10" ht="80" x14ac:dyDescent="0.2">
      <c r="A169" t="s">
        <v>703</v>
      </c>
      <c r="B169" s="2" t="s">
        <v>38</v>
      </c>
      <c r="C169" s="2" t="s">
        <v>39</v>
      </c>
      <c r="D169" s="2" t="s">
        <v>704</v>
      </c>
      <c r="E169" s="2" t="s">
        <v>705</v>
      </c>
      <c r="F169" s="2" t="s">
        <v>706</v>
      </c>
      <c r="G169" s="2" t="s">
        <v>43</v>
      </c>
      <c r="H169" s="2" t="s">
        <v>44</v>
      </c>
      <c r="I169" s="2" t="s">
        <v>1245</v>
      </c>
      <c r="J169" s="2"/>
    </row>
    <row r="170" spans="1:10" ht="64" x14ac:dyDescent="0.2">
      <c r="A170" t="s">
        <v>707</v>
      </c>
      <c r="B170" s="2" t="s">
        <v>38</v>
      </c>
      <c r="C170" s="2" t="s">
        <v>39</v>
      </c>
      <c r="D170" s="2" t="s">
        <v>708</v>
      </c>
      <c r="E170" s="2" t="s">
        <v>709</v>
      </c>
      <c r="F170" s="2" t="s">
        <v>710</v>
      </c>
      <c r="G170" s="2" t="s">
        <v>43</v>
      </c>
      <c r="H170" s="2" t="s">
        <v>44</v>
      </c>
      <c r="I170" s="2" t="s">
        <v>1245</v>
      </c>
      <c r="J170" s="2"/>
    </row>
    <row r="171" spans="1:10" ht="112" x14ac:dyDescent="0.2">
      <c r="A171" t="s">
        <v>711</v>
      </c>
      <c r="B171" s="2" t="s">
        <v>38</v>
      </c>
      <c r="C171" s="2" t="s">
        <v>39</v>
      </c>
      <c r="D171" s="2" t="s">
        <v>712</v>
      </c>
      <c r="E171" s="2" t="s">
        <v>713</v>
      </c>
      <c r="F171" s="2" t="s">
        <v>714</v>
      </c>
      <c r="G171" s="2" t="s">
        <v>43</v>
      </c>
      <c r="H171" s="2" t="s">
        <v>44</v>
      </c>
      <c r="I171" s="2" t="s">
        <v>1245</v>
      </c>
      <c r="J171" s="2"/>
    </row>
    <row r="172" spans="1:10" ht="96" x14ac:dyDescent="0.2">
      <c r="A172" t="s">
        <v>715</v>
      </c>
      <c r="B172" s="2" t="s">
        <v>38</v>
      </c>
      <c r="C172" s="2" t="s">
        <v>39</v>
      </c>
      <c r="D172" s="2" t="s">
        <v>716</v>
      </c>
      <c r="E172" s="2" t="s">
        <v>717</v>
      </c>
      <c r="F172" s="2" t="s">
        <v>718</v>
      </c>
      <c r="G172" s="2" t="s">
        <v>43</v>
      </c>
      <c r="H172" s="2" t="s">
        <v>44</v>
      </c>
      <c r="I172" s="2" t="s">
        <v>1245</v>
      </c>
      <c r="J172" s="2"/>
    </row>
    <row r="173" spans="1:10" ht="96" x14ac:dyDescent="0.2">
      <c r="A173" t="s">
        <v>719</v>
      </c>
      <c r="B173" s="2" t="s">
        <v>38</v>
      </c>
      <c r="C173" s="2" t="s">
        <v>39</v>
      </c>
      <c r="D173" s="2" t="s">
        <v>720</v>
      </c>
      <c r="E173" s="2" t="s">
        <v>721</v>
      </c>
      <c r="F173" s="2" t="s">
        <v>722</v>
      </c>
      <c r="G173" s="2" t="s">
        <v>43</v>
      </c>
      <c r="H173" s="2" t="s">
        <v>44</v>
      </c>
      <c r="I173" s="2" t="s">
        <v>1245</v>
      </c>
      <c r="J173" s="2"/>
    </row>
    <row r="174" spans="1:10" ht="144" x14ac:dyDescent="0.2">
      <c r="A174" t="s">
        <v>723</v>
      </c>
      <c r="B174" s="2" t="s">
        <v>38</v>
      </c>
      <c r="C174" s="2" t="s">
        <v>39</v>
      </c>
      <c r="D174" s="2" t="s">
        <v>724</v>
      </c>
      <c r="E174" s="2" t="s">
        <v>725</v>
      </c>
      <c r="F174" s="2" t="s">
        <v>726</v>
      </c>
      <c r="G174" s="2" t="s">
        <v>43</v>
      </c>
      <c r="H174" s="2" t="s">
        <v>44</v>
      </c>
      <c r="I174" s="2" t="s">
        <v>1245</v>
      </c>
      <c r="J174" s="2"/>
    </row>
    <row r="175" spans="1:10" ht="80" x14ac:dyDescent="0.2">
      <c r="A175" t="s">
        <v>727</v>
      </c>
      <c r="B175" s="2" t="s">
        <v>38</v>
      </c>
      <c r="C175" s="2" t="s">
        <v>39</v>
      </c>
      <c r="D175" s="2" t="s">
        <v>728</v>
      </c>
      <c r="E175" s="2" t="s">
        <v>729</v>
      </c>
      <c r="F175" s="2" t="s">
        <v>730</v>
      </c>
      <c r="G175" s="2" t="s">
        <v>43</v>
      </c>
      <c r="H175" s="2" t="s">
        <v>44</v>
      </c>
      <c r="I175" s="2" t="s">
        <v>1245</v>
      </c>
      <c r="J175" s="2"/>
    </row>
    <row r="176" spans="1:10" ht="144" x14ac:dyDescent="0.2">
      <c r="A176" t="s">
        <v>731</v>
      </c>
      <c r="B176" s="2" t="s">
        <v>38</v>
      </c>
      <c r="C176" s="2" t="s">
        <v>39</v>
      </c>
      <c r="D176" s="2" t="s">
        <v>732</v>
      </c>
      <c r="E176" s="2" t="s">
        <v>733</v>
      </c>
      <c r="F176" s="2" t="s">
        <v>734</v>
      </c>
      <c r="G176" s="2" t="s">
        <v>43</v>
      </c>
      <c r="H176" s="2" t="s">
        <v>44</v>
      </c>
      <c r="I176" s="2" t="s">
        <v>1245</v>
      </c>
      <c r="J176" s="2"/>
    </row>
    <row r="177" spans="1:10" ht="112" x14ac:dyDescent="0.2">
      <c r="A177" t="s">
        <v>735</v>
      </c>
      <c r="B177" s="2" t="s">
        <v>38</v>
      </c>
      <c r="C177" s="2" t="s">
        <v>39</v>
      </c>
      <c r="D177" s="2" t="s">
        <v>736</v>
      </c>
      <c r="E177" s="2" t="s">
        <v>737</v>
      </c>
      <c r="F177" s="2" t="s">
        <v>738</v>
      </c>
      <c r="G177" s="2" t="s">
        <v>43</v>
      </c>
      <c r="H177" s="2" t="s">
        <v>44</v>
      </c>
      <c r="I177" s="2" t="s">
        <v>1245</v>
      </c>
      <c r="J177" s="2"/>
    </row>
    <row r="178" spans="1:10" ht="80" x14ac:dyDescent="0.2">
      <c r="A178" t="s">
        <v>739</v>
      </c>
      <c r="B178" s="2" t="s">
        <v>38</v>
      </c>
      <c r="C178" s="2" t="s">
        <v>39</v>
      </c>
      <c r="D178" s="2" t="s">
        <v>740</v>
      </c>
      <c r="E178" s="2" t="s">
        <v>741</v>
      </c>
      <c r="F178" s="2" t="s">
        <v>742</v>
      </c>
      <c r="G178" s="2" t="s">
        <v>43</v>
      </c>
      <c r="H178" s="2" t="s">
        <v>44</v>
      </c>
      <c r="I178" s="2" t="s">
        <v>1245</v>
      </c>
      <c r="J178" s="2"/>
    </row>
    <row r="179" spans="1:10" ht="112" x14ac:dyDescent="0.2">
      <c r="A179" t="s">
        <v>743</v>
      </c>
      <c r="B179" s="2" t="s">
        <v>38</v>
      </c>
      <c r="C179" s="2" t="s">
        <v>39</v>
      </c>
      <c r="D179" s="2" t="s">
        <v>744</v>
      </c>
      <c r="E179" s="2" t="s">
        <v>745</v>
      </c>
      <c r="F179" s="2" t="s">
        <v>746</v>
      </c>
      <c r="G179" s="2" t="s">
        <v>43</v>
      </c>
      <c r="H179" s="2" t="s">
        <v>44</v>
      </c>
      <c r="I179" s="2" t="s">
        <v>1245</v>
      </c>
      <c r="J179" s="2"/>
    </row>
    <row r="180" spans="1:10" ht="80" x14ac:dyDescent="0.2">
      <c r="A180" t="s">
        <v>747</v>
      </c>
      <c r="B180" s="2" t="s">
        <v>38</v>
      </c>
      <c r="C180" s="2" t="s">
        <v>39</v>
      </c>
      <c r="D180" s="2" t="s">
        <v>748</v>
      </c>
      <c r="E180" s="2" t="s">
        <v>749</v>
      </c>
      <c r="F180" s="2" t="s">
        <v>750</v>
      </c>
      <c r="G180" s="2" t="s">
        <v>43</v>
      </c>
      <c r="H180" s="2" t="s">
        <v>44</v>
      </c>
      <c r="I180" s="2" t="s">
        <v>1245</v>
      </c>
      <c r="J180" s="2"/>
    </row>
    <row r="181" spans="1:10" ht="64" x14ac:dyDescent="0.2">
      <c r="A181" t="s">
        <v>751</v>
      </c>
      <c r="B181" s="2" t="s">
        <v>38</v>
      </c>
      <c r="C181" s="2" t="s">
        <v>39</v>
      </c>
      <c r="D181" s="2" t="s">
        <v>752</v>
      </c>
      <c r="E181" s="2" t="s">
        <v>753</v>
      </c>
      <c r="F181" s="2" t="s">
        <v>754</v>
      </c>
      <c r="G181" s="2" t="s">
        <v>43</v>
      </c>
      <c r="H181" s="2" t="s">
        <v>44</v>
      </c>
      <c r="I181" s="2" t="s">
        <v>1245</v>
      </c>
      <c r="J181" s="2"/>
    </row>
    <row r="182" spans="1:10" ht="80" x14ac:dyDescent="0.2">
      <c r="A182" t="s">
        <v>755</v>
      </c>
      <c r="B182" s="2" t="s">
        <v>38</v>
      </c>
      <c r="C182" s="2" t="s">
        <v>39</v>
      </c>
      <c r="D182" s="2" t="s">
        <v>756</v>
      </c>
      <c r="E182" s="2" t="s">
        <v>757</v>
      </c>
      <c r="F182" s="2" t="s">
        <v>448</v>
      </c>
      <c r="G182" s="2" t="s">
        <v>43</v>
      </c>
      <c r="H182" s="2" t="s">
        <v>44</v>
      </c>
      <c r="I182" s="2" t="s">
        <v>1245</v>
      </c>
      <c r="J182" s="2"/>
    </row>
    <row r="183" spans="1:10" ht="80" x14ac:dyDescent="0.2">
      <c r="A183" t="s">
        <v>758</v>
      </c>
      <c r="B183" s="2" t="s">
        <v>38</v>
      </c>
      <c r="C183" s="2" t="s">
        <v>39</v>
      </c>
      <c r="D183" s="2" t="s">
        <v>759</v>
      </c>
      <c r="E183" s="2" t="s">
        <v>760</v>
      </c>
      <c r="F183" s="2" t="s">
        <v>761</v>
      </c>
      <c r="G183" s="2" t="s">
        <v>43</v>
      </c>
      <c r="H183" s="2" t="s">
        <v>44</v>
      </c>
      <c r="I183" s="2" t="s">
        <v>1245</v>
      </c>
      <c r="J183" s="2"/>
    </row>
    <row r="184" spans="1:10" ht="80" x14ac:dyDescent="0.2">
      <c r="A184" t="s">
        <v>762</v>
      </c>
      <c r="B184" s="2" t="s">
        <v>38</v>
      </c>
      <c r="C184" s="2" t="s">
        <v>39</v>
      </c>
      <c r="D184" s="2" t="s">
        <v>763</v>
      </c>
      <c r="E184" s="2" t="s">
        <v>764</v>
      </c>
      <c r="F184" s="2" t="s">
        <v>638</v>
      </c>
      <c r="G184" s="2" t="s">
        <v>43</v>
      </c>
      <c r="H184" s="2" t="s">
        <v>44</v>
      </c>
      <c r="I184" s="2" t="s">
        <v>1245</v>
      </c>
      <c r="J184" s="2"/>
    </row>
    <row r="185" spans="1:10" ht="96" x14ac:dyDescent="0.2">
      <c r="A185" t="s">
        <v>765</v>
      </c>
      <c r="B185" s="2" t="s">
        <v>38</v>
      </c>
      <c r="C185" s="2" t="s">
        <v>39</v>
      </c>
      <c r="D185" s="2" t="s">
        <v>766</v>
      </c>
      <c r="E185" s="2" t="s">
        <v>767</v>
      </c>
      <c r="F185" s="2" t="s">
        <v>768</v>
      </c>
      <c r="G185" s="2" t="s">
        <v>43</v>
      </c>
      <c r="H185" s="2" t="s">
        <v>44</v>
      </c>
      <c r="I185" s="2" t="s">
        <v>1245</v>
      </c>
      <c r="J185" s="2"/>
    </row>
    <row r="186" spans="1:10" ht="80" x14ac:dyDescent="0.2">
      <c r="A186" t="s">
        <v>769</v>
      </c>
      <c r="B186" s="2" t="s">
        <v>38</v>
      </c>
      <c r="C186" s="2" t="s">
        <v>39</v>
      </c>
      <c r="D186" s="2" t="s">
        <v>770</v>
      </c>
      <c r="E186" s="2" t="s">
        <v>771</v>
      </c>
      <c r="F186" s="2" t="s">
        <v>772</v>
      </c>
      <c r="G186" s="2" t="s">
        <v>43</v>
      </c>
      <c r="H186" s="2" t="s">
        <v>44</v>
      </c>
      <c r="I186" s="2" t="s">
        <v>1245</v>
      </c>
      <c r="J186" s="2"/>
    </row>
    <row r="187" spans="1:10" ht="80" x14ac:dyDescent="0.2">
      <c r="A187" t="s">
        <v>773</v>
      </c>
      <c r="B187" s="2" t="s">
        <v>38</v>
      </c>
      <c r="C187" s="2" t="s">
        <v>39</v>
      </c>
      <c r="D187" s="2" t="s">
        <v>774</v>
      </c>
      <c r="E187" s="2" t="s">
        <v>775</v>
      </c>
      <c r="F187" s="2" t="s">
        <v>776</v>
      </c>
      <c r="G187" s="2" t="s">
        <v>43</v>
      </c>
      <c r="H187" s="2" t="s">
        <v>44</v>
      </c>
      <c r="I187" s="2" t="s">
        <v>1245</v>
      </c>
      <c r="J187" s="2"/>
    </row>
    <row r="188" spans="1:10" ht="96" x14ac:dyDescent="0.2">
      <c r="A188" t="s">
        <v>777</v>
      </c>
      <c r="B188" s="2" t="s">
        <v>38</v>
      </c>
      <c r="C188" s="2" t="s">
        <v>39</v>
      </c>
      <c r="D188" s="2" t="s">
        <v>778</v>
      </c>
      <c r="E188" s="2" t="s">
        <v>779</v>
      </c>
      <c r="F188" s="2" t="s">
        <v>780</v>
      </c>
      <c r="G188" s="2" t="s">
        <v>43</v>
      </c>
      <c r="H188" s="2" t="s">
        <v>44</v>
      </c>
      <c r="I188" s="2" t="s">
        <v>1245</v>
      </c>
      <c r="J188" s="2"/>
    </row>
    <row r="189" spans="1:10" ht="96" x14ac:dyDescent="0.2">
      <c r="A189" t="s">
        <v>781</v>
      </c>
      <c r="B189" s="2" t="s">
        <v>38</v>
      </c>
      <c r="C189" s="2" t="s">
        <v>39</v>
      </c>
      <c r="D189" s="2" t="s">
        <v>782</v>
      </c>
      <c r="E189" s="2" t="s">
        <v>783</v>
      </c>
      <c r="F189" s="2" t="s">
        <v>784</v>
      </c>
      <c r="G189" s="2" t="s">
        <v>43</v>
      </c>
      <c r="H189" s="2" t="s">
        <v>44</v>
      </c>
      <c r="I189" s="2" t="s">
        <v>1245</v>
      </c>
      <c r="J189" s="2"/>
    </row>
    <row r="190" spans="1:10" ht="96" x14ac:dyDescent="0.2">
      <c r="A190" t="s">
        <v>785</v>
      </c>
      <c r="B190" s="2" t="s">
        <v>38</v>
      </c>
      <c r="C190" s="2" t="s">
        <v>39</v>
      </c>
      <c r="D190" s="2" t="s">
        <v>786</v>
      </c>
      <c r="E190" s="2" t="s">
        <v>787</v>
      </c>
      <c r="F190" s="2" t="s">
        <v>788</v>
      </c>
      <c r="G190" s="2" t="s">
        <v>43</v>
      </c>
      <c r="H190" s="2" t="s">
        <v>44</v>
      </c>
      <c r="I190" s="2" t="s">
        <v>1245</v>
      </c>
      <c r="J190" s="2"/>
    </row>
    <row r="191" spans="1:10" ht="96" x14ac:dyDescent="0.2">
      <c r="A191" t="s">
        <v>789</v>
      </c>
      <c r="B191" s="2" t="s">
        <v>38</v>
      </c>
      <c r="C191" s="2" t="s">
        <v>39</v>
      </c>
      <c r="D191" s="2" t="s">
        <v>790</v>
      </c>
      <c r="E191" s="2" t="s">
        <v>791</v>
      </c>
      <c r="F191" s="2" t="s">
        <v>792</v>
      </c>
      <c r="G191" s="2" t="s">
        <v>43</v>
      </c>
      <c r="H191" s="2" t="s">
        <v>44</v>
      </c>
      <c r="I191" s="2" t="s">
        <v>1245</v>
      </c>
      <c r="J191" s="2"/>
    </row>
    <row r="192" spans="1:10" ht="80" x14ac:dyDescent="0.2">
      <c r="A192" t="s">
        <v>793</v>
      </c>
      <c r="B192" s="2" t="s">
        <v>38</v>
      </c>
      <c r="C192" s="2" t="s">
        <v>39</v>
      </c>
      <c r="D192" s="2" t="s">
        <v>794</v>
      </c>
      <c r="E192" s="2" t="s">
        <v>795</v>
      </c>
      <c r="F192" s="2" t="s">
        <v>796</v>
      </c>
      <c r="G192" s="2" t="s">
        <v>43</v>
      </c>
      <c r="H192" s="2" t="s">
        <v>44</v>
      </c>
      <c r="I192" s="2" t="s">
        <v>1245</v>
      </c>
      <c r="J192" s="2"/>
    </row>
    <row r="193" spans="1:10" ht="80" x14ac:dyDescent="0.2">
      <c r="A193" t="s">
        <v>797</v>
      </c>
      <c r="B193" s="2" t="s">
        <v>38</v>
      </c>
      <c r="C193" s="2" t="s">
        <v>39</v>
      </c>
      <c r="D193" s="2" t="s">
        <v>798</v>
      </c>
      <c r="E193" s="2" t="s">
        <v>799</v>
      </c>
      <c r="F193" s="2" t="s">
        <v>800</v>
      </c>
      <c r="G193" s="2" t="s">
        <v>43</v>
      </c>
      <c r="H193" s="2" t="s">
        <v>44</v>
      </c>
      <c r="I193" s="2" t="s">
        <v>1245</v>
      </c>
      <c r="J193" s="2"/>
    </row>
    <row r="194" spans="1:10" ht="112" x14ac:dyDescent="0.2">
      <c r="A194" t="s">
        <v>801</v>
      </c>
      <c r="B194" s="2" t="s">
        <v>38</v>
      </c>
      <c r="C194" s="2" t="s">
        <v>39</v>
      </c>
      <c r="D194" s="2" t="s">
        <v>802</v>
      </c>
      <c r="E194" s="2" t="s">
        <v>803</v>
      </c>
      <c r="F194" s="2" t="s">
        <v>804</v>
      </c>
      <c r="G194" s="2" t="s">
        <v>43</v>
      </c>
      <c r="H194" s="2" t="s">
        <v>44</v>
      </c>
      <c r="I194" s="2" t="s">
        <v>1245</v>
      </c>
      <c r="J194" s="2"/>
    </row>
    <row r="195" spans="1:10" ht="80" x14ac:dyDescent="0.2">
      <c r="A195" t="s">
        <v>805</v>
      </c>
      <c r="B195" s="2" t="s">
        <v>38</v>
      </c>
      <c r="C195" s="2" t="s">
        <v>39</v>
      </c>
      <c r="D195" s="2" t="s">
        <v>806</v>
      </c>
      <c r="E195" s="2" t="s">
        <v>807</v>
      </c>
      <c r="F195" s="2" t="s">
        <v>808</v>
      </c>
      <c r="G195" s="2" t="s">
        <v>43</v>
      </c>
      <c r="H195" s="2" t="s">
        <v>44</v>
      </c>
      <c r="I195" s="2" t="s">
        <v>1245</v>
      </c>
      <c r="J195" s="2"/>
    </row>
    <row r="196" spans="1:10" ht="96" x14ac:dyDescent="0.2">
      <c r="A196" t="s">
        <v>809</v>
      </c>
      <c r="B196" s="2" t="s">
        <v>38</v>
      </c>
      <c r="C196" s="2" t="s">
        <v>39</v>
      </c>
      <c r="D196" s="2" t="s">
        <v>810</v>
      </c>
      <c r="E196" s="2" t="s">
        <v>811</v>
      </c>
      <c r="F196" s="2" t="s">
        <v>812</v>
      </c>
      <c r="G196" s="2" t="s">
        <v>43</v>
      </c>
      <c r="H196" s="2" t="s">
        <v>44</v>
      </c>
      <c r="I196" s="2" t="s">
        <v>1245</v>
      </c>
      <c r="J196" s="2"/>
    </row>
    <row r="197" spans="1:10" ht="80" x14ac:dyDescent="0.2">
      <c r="A197" t="s">
        <v>813</v>
      </c>
      <c r="B197" s="2" t="s">
        <v>38</v>
      </c>
      <c r="C197" s="2" t="s">
        <v>39</v>
      </c>
      <c r="D197" s="2" t="s">
        <v>814</v>
      </c>
      <c r="E197" s="2" t="s">
        <v>815</v>
      </c>
      <c r="F197" s="2" t="s">
        <v>638</v>
      </c>
      <c r="G197" s="2" t="s">
        <v>43</v>
      </c>
      <c r="H197" s="2" t="s">
        <v>44</v>
      </c>
      <c r="I197" s="2" t="s">
        <v>1245</v>
      </c>
      <c r="J197" s="2"/>
    </row>
    <row r="198" spans="1:10" ht="112" x14ac:dyDescent="0.2">
      <c r="A198" t="s">
        <v>816</v>
      </c>
      <c r="B198" s="2" t="s">
        <v>38</v>
      </c>
      <c r="C198" s="2" t="s">
        <v>39</v>
      </c>
      <c r="D198" s="2" t="s">
        <v>817</v>
      </c>
      <c r="E198" s="2" t="s">
        <v>818</v>
      </c>
      <c r="F198" s="2" t="s">
        <v>819</v>
      </c>
      <c r="G198" s="2" t="s">
        <v>43</v>
      </c>
      <c r="H198" s="2" t="s">
        <v>44</v>
      </c>
      <c r="I198" s="2" t="s">
        <v>1245</v>
      </c>
      <c r="J198" s="2"/>
    </row>
    <row r="199" spans="1:10" ht="80" x14ac:dyDescent="0.2">
      <c r="A199" t="s">
        <v>820</v>
      </c>
      <c r="B199" s="2" t="s">
        <v>38</v>
      </c>
      <c r="C199" s="2" t="s">
        <v>39</v>
      </c>
      <c r="D199" s="2" t="s">
        <v>821</v>
      </c>
      <c r="E199" s="2" t="s">
        <v>822</v>
      </c>
      <c r="F199" s="2" t="s">
        <v>823</v>
      </c>
      <c r="G199" s="2" t="s">
        <v>43</v>
      </c>
      <c r="H199" s="2" t="s">
        <v>44</v>
      </c>
      <c r="I199" s="2" t="s">
        <v>1245</v>
      </c>
      <c r="J199" s="2"/>
    </row>
    <row r="200" spans="1:10" ht="112" x14ac:dyDescent="0.2">
      <c r="A200" t="s">
        <v>824</v>
      </c>
      <c r="B200" s="2" t="s">
        <v>38</v>
      </c>
      <c r="C200" s="2" t="s">
        <v>39</v>
      </c>
      <c r="D200" s="2" t="s">
        <v>825</v>
      </c>
      <c r="E200" s="2" t="s">
        <v>826</v>
      </c>
      <c r="F200" s="2" t="s">
        <v>827</v>
      </c>
      <c r="G200" s="2" t="s">
        <v>43</v>
      </c>
      <c r="H200" s="2" t="s">
        <v>44</v>
      </c>
      <c r="I200" s="2" t="s">
        <v>1245</v>
      </c>
      <c r="J200" s="2"/>
    </row>
    <row r="201" spans="1:10" ht="80" x14ac:dyDescent="0.2">
      <c r="A201" t="s">
        <v>828</v>
      </c>
      <c r="B201" s="2" t="s">
        <v>38</v>
      </c>
      <c r="C201" s="2" t="s">
        <v>39</v>
      </c>
      <c r="D201" s="2" t="s">
        <v>829</v>
      </c>
      <c r="E201" s="2" t="s">
        <v>830</v>
      </c>
      <c r="F201" s="2" t="s">
        <v>831</v>
      </c>
      <c r="G201" s="2" t="s">
        <v>43</v>
      </c>
      <c r="H201" s="2" t="s">
        <v>44</v>
      </c>
      <c r="I201" s="2" t="s">
        <v>1245</v>
      </c>
      <c r="J201" s="2"/>
    </row>
    <row r="202" spans="1:10" ht="64" x14ac:dyDescent="0.2">
      <c r="A202" t="s">
        <v>832</v>
      </c>
      <c r="B202" s="2" t="s">
        <v>38</v>
      </c>
      <c r="C202" s="2" t="s">
        <v>39</v>
      </c>
      <c r="D202" s="2" t="s">
        <v>833</v>
      </c>
      <c r="E202" s="2" t="s">
        <v>834</v>
      </c>
      <c r="F202" s="2" t="s">
        <v>835</v>
      </c>
      <c r="G202" s="2" t="s">
        <v>43</v>
      </c>
      <c r="H202" s="2" t="s">
        <v>44</v>
      </c>
      <c r="I202" s="2" t="s">
        <v>1245</v>
      </c>
      <c r="J202" s="2"/>
    </row>
    <row r="203" spans="1:10" ht="80" x14ac:dyDescent="0.2">
      <c r="A203" t="s">
        <v>836</v>
      </c>
      <c r="B203" s="2" t="s">
        <v>38</v>
      </c>
      <c r="C203" s="2" t="s">
        <v>39</v>
      </c>
      <c r="D203" s="2" t="s">
        <v>837</v>
      </c>
      <c r="E203" s="2" t="s">
        <v>838</v>
      </c>
      <c r="F203" s="2" t="s">
        <v>839</v>
      </c>
      <c r="G203" s="2" t="s">
        <v>43</v>
      </c>
      <c r="H203" s="2" t="s">
        <v>44</v>
      </c>
      <c r="I203" s="2" t="s">
        <v>1245</v>
      </c>
      <c r="J203" s="2"/>
    </row>
    <row r="204" spans="1:10" ht="80" x14ac:dyDescent="0.2">
      <c r="A204" t="s">
        <v>840</v>
      </c>
      <c r="B204" s="2" t="s">
        <v>38</v>
      </c>
      <c r="C204" s="2" t="s">
        <v>39</v>
      </c>
      <c r="D204" s="2" t="s">
        <v>841</v>
      </c>
      <c r="E204" s="2" t="s">
        <v>842</v>
      </c>
      <c r="F204" s="2" t="s">
        <v>843</v>
      </c>
      <c r="G204" s="2" t="s">
        <v>43</v>
      </c>
      <c r="H204" s="2" t="s">
        <v>44</v>
      </c>
      <c r="I204" s="2" t="s">
        <v>1245</v>
      </c>
      <c r="J204" s="2"/>
    </row>
    <row r="205" spans="1:10" ht="64" x14ac:dyDescent="0.2">
      <c r="A205" t="s">
        <v>844</v>
      </c>
      <c r="B205" s="2" t="s">
        <v>38</v>
      </c>
      <c r="C205" s="2" t="s">
        <v>39</v>
      </c>
      <c r="D205" s="2" t="s">
        <v>845</v>
      </c>
      <c r="E205" s="2" t="s">
        <v>846</v>
      </c>
      <c r="F205" s="2" t="s">
        <v>847</v>
      </c>
      <c r="G205" s="2" t="s">
        <v>43</v>
      </c>
      <c r="H205" s="2" t="s">
        <v>44</v>
      </c>
      <c r="I205" s="2" t="s">
        <v>1245</v>
      </c>
      <c r="J205" s="2"/>
    </row>
    <row r="206" spans="1:10" ht="96" x14ac:dyDescent="0.2">
      <c r="A206" t="s">
        <v>848</v>
      </c>
      <c r="B206" s="2" t="s">
        <v>38</v>
      </c>
      <c r="C206" s="2" t="s">
        <v>39</v>
      </c>
      <c r="D206" s="2" t="s">
        <v>849</v>
      </c>
      <c r="E206" s="2" t="s">
        <v>850</v>
      </c>
      <c r="F206" s="2" t="s">
        <v>851</v>
      </c>
      <c r="G206" s="2" t="s">
        <v>43</v>
      </c>
      <c r="H206" s="2" t="s">
        <v>44</v>
      </c>
      <c r="I206" s="2" t="s">
        <v>1245</v>
      </c>
      <c r="J206" s="2"/>
    </row>
    <row r="207" spans="1:10" ht="80" x14ac:dyDescent="0.2">
      <c r="A207" t="s">
        <v>852</v>
      </c>
      <c r="B207" s="2" t="s">
        <v>38</v>
      </c>
      <c r="C207" s="2" t="s">
        <v>39</v>
      </c>
      <c r="D207" s="2" t="s">
        <v>853</v>
      </c>
      <c r="E207" s="2" t="s">
        <v>854</v>
      </c>
      <c r="F207" s="2" t="s">
        <v>855</v>
      </c>
      <c r="G207" s="2" t="s">
        <v>43</v>
      </c>
      <c r="H207" s="2" t="s">
        <v>44</v>
      </c>
      <c r="I207" s="2" t="s">
        <v>1245</v>
      </c>
      <c r="J207" s="2"/>
    </row>
    <row r="208" spans="1:10" ht="96" x14ac:dyDescent="0.2">
      <c r="A208" t="s">
        <v>856</v>
      </c>
      <c r="B208" s="2" t="s">
        <v>38</v>
      </c>
      <c r="C208" s="2" t="s">
        <v>39</v>
      </c>
      <c r="D208" s="2" t="s">
        <v>857</v>
      </c>
      <c r="E208" s="2" t="s">
        <v>858</v>
      </c>
      <c r="F208" s="2" t="s">
        <v>859</v>
      </c>
      <c r="G208" s="2" t="s">
        <v>43</v>
      </c>
      <c r="H208" s="2" t="s">
        <v>44</v>
      </c>
      <c r="I208" s="2" t="s">
        <v>1245</v>
      </c>
      <c r="J208" s="2"/>
    </row>
    <row r="209" spans="1:10" ht="96" x14ac:dyDescent="0.2">
      <c r="A209" t="s">
        <v>860</v>
      </c>
      <c r="B209" s="2" t="s">
        <v>38</v>
      </c>
      <c r="C209" s="2" t="s">
        <v>39</v>
      </c>
      <c r="D209" s="2" t="s">
        <v>861</v>
      </c>
      <c r="E209" s="2" t="s">
        <v>862</v>
      </c>
      <c r="F209" s="2" t="s">
        <v>863</v>
      </c>
      <c r="G209" s="2" t="s">
        <v>43</v>
      </c>
      <c r="H209" s="2" t="s">
        <v>44</v>
      </c>
      <c r="I209" s="2" t="s">
        <v>1245</v>
      </c>
      <c r="J209" s="2"/>
    </row>
    <row r="210" spans="1:10" ht="80" x14ac:dyDescent="0.2">
      <c r="A210" t="s">
        <v>864</v>
      </c>
      <c r="B210" s="2" t="s">
        <v>38</v>
      </c>
      <c r="C210" s="2" t="s">
        <v>39</v>
      </c>
      <c r="D210" s="2" t="s">
        <v>865</v>
      </c>
      <c r="E210" s="2" t="s">
        <v>866</v>
      </c>
      <c r="F210" s="2" t="s">
        <v>867</v>
      </c>
      <c r="G210" s="2" t="s">
        <v>43</v>
      </c>
      <c r="H210" s="2" t="s">
        <v>44</v>
      </c>
      <c r="I210" s="2" t="s">
        <v>1245</v>
      </c>
      <c r="J210" s="2"/>
    </row>
    <row r="211" spans="1:10" ht="96" x14ac:dyDescent="0.2">
      <c r="A211" t="s">
        <v>868</v>
      </c>
      <c r="B211" s="2" t="s">
        <v>38</v>
      </c>
      <c r="C211" s="2" t="s">
        <v>39</v>
      </c>
      <c r="D211" s="2" t="s">
        <v>869</v>
      </c>
      <c r="E211" s="2" t="s">
        <v>870</v>
      </c>
      <c r="F211" s="2" t="s">
        <v>871</v>
      </c>
      <c r="G211" s="2" t="s">
        <v>43</v>
      </c>
      <c r="H211" s="2" t="s">
        <v>44</v>
      </c>
      <c r="I211" s="2" t="s">
        <v>1245</v>
      </c>
      <c r="J211" s="2"/>
    </row>
    <row r="212" spans="1:10" ht="80" x14ac:dyDescent="0.2">
      <c r="A212" t="s">
        <v>872</v>
      </c>
      <c r="B212" s="2" t="s">
        <v>38</v>
      </c>
      <c r="C212" s="2" t="s">
        <v>39</v>
      </c>
      <c r="D212" s="2" t="s">
        <v>873</v>
      </c>
      <c r="E212" s="2" t="s">
        <v>874</v>
      </c>
      <c r="F212" s="2" t="s">
        <v>875</v>
      </c>
      <c r="G212" s="2" t="s">
        <v>43</v>
      </c>
      <c r="H212" s="2" t="s">
        <v>44</v>
      </c>
      <c r="I212" s="2" t="s">
        <v>1245</v>
      </c>
      <c r="J212" s="2"/>
    </row>
    <row r="213" spans="1:10" ht="80" x14ac:dyDescent="0.2">
      <c r="A213" t="s">
        <v>876</v>
      </c>
      <c r="B213" s="2" t="s">
        <v>38</v>
      </c>
      <c r="C213" s="2" t="s">
        <v>39</v>
      </c>
      <c r="D213" s="2" t="s">
        <v>877</v>
      </c>
      <c r="E213" s="2" t="s">
        <v>878</v>
      </c>
      <c r="F213" s="2" t="s">
        <v>879</v>
      </c>
      <c r="G213" s="2" t="s">
        <v>43</v>
      </c>
      <c r="H213" s="2" t="s">
        <v>44</v>
      </c>
      <c r="I213" s="2" t="s">
        <v>1245</v>
      </c>
      <c r="J213" s="2"/>
    </row>
    <row r="214" spans="1:10" ht="80" x14ac:dyDescent="0.2">
      <c r="A214" t="s">
        <v>880</v>
      </c>
      <c r="B214" s="2" t="s">
        <v>38</v>
      </c>
      <c r="C214" s="2" t="s">
        <v>39</v>
      </c>
      <c r="D214" s="2" t="s">
        <v>881</v>
      </c>
      <c r="E214" s="2" t="s">
        <v>882</v>
      </c>
      <c r="F214" s="2" t="s">
        <v>883</v>
      </c>
      <c r="G214" s="2" t="s">
        <v>43</v>
      </c>
      <c r="H214" s="2" t="s">
        <v>44</v>
      </c>
      <c r="I214" s="2" t="s">
        <v>1245</v>
      </c>
      <c r="J214" s="2"/>
    </row>
    <row r="215" spans="1:10" ht="80" x14ac:dyDescent="0.2">
      <c r="A215" t="s">
        <v>884</v>
      </c>
      <c r="B215" s="2" t="s">
        <v>38</v>
      </c>
      <c r="C215" s="2" t="s">
        <v>39</v>
      </c>
      <c r="D215" s="2" t="s">
        <v>885</v>
      </c>
      <c r="E215" s="2" t="s">
        <v>886</v>
      </c>
      <c r="F215" s="2" t="s">
        <v>887</v>
      </c>
      <c r="G215" s="2" t="s">
        <v>43</v>
      </c>
      <c r="H215" s="2" t="s">
        <v>44</v>
      </c>
      <c r="I215" s="2" t="s">
        <v>1245</v>
      </c>
      <c r="J215" s="2"/>
    </row>
    <row r="216" spans="1:10" ht="80" x14ac:dyDescent="0.2">
      <c r="A216" t="s">
        <v>888</v>
      </c>
      <c r="B216" s="2" t="s">
        <v>38</v>
      </c>
      <c r="C216" s="2" t="s">
        <v>39</v>
      </c>
      <c r="D216" s="2" t="s">
        <v>889</v>
      </c>
      <c r="E216" s="2" t="s">
        <v>890</v>
      </c>
      <c r="F216" s="2" t="s">
        <v>891</v>
      </c>
      <c r="G216" s="2" t="s">
        <v>43</v>
      </c>
      <c r="H216" s="2" t="s">
        <v>44</v>
      </c>
      <c r="I216" s="2" t="s">
        <v>1245</v>
      </c>
      <c r="J216" s="2"/>
    </row>
    <row r="217" spans="1:10" ht="80" x14ac:dyDescent="0.2">
      <c r="A217" t="s">
        <v>892</v>
      </c>
      <c r="B217" s="2" t="s">
        <v>38</v>
      </c>
      <c r="C217" s="2" t="s">
        <v>39</v>
      </c>
      <c r="D217" s="2" t="s">
        <v>893</v>
      </c>
      <c r="E217" s="2" t="s">
        <v>894</v>
      </c>
      <c r="F217" s="2" t="s">
        <v>895</v>
      </c>
      <c r="G217" s="2" t="s">
        <v>43</v>
      </c>
      <c r="H217" s="2" t="s">
        <v>44</v>
      </c>
      <c r="I217" s="2" t="s">
        <v>1245</v>
      </c>
      <c r="J217" s="2"/>
    </row>
    <row r="218" spans="1:10" ht="112" x14ac:dyDescent="0.2">
      <c r="A218" t="s">
        <v>896</v>
      </c>
      <c r="B218" s="2" t="s">
        <v>38</v>
      </c>
      <c r="C218" s="2" t="s">
        <v>39</v>
      </c>
      <c r="D218" s="2" t="s">
        <v>897</v>
      </c>
      <c r="E218" s="2" t="s">
        <v>898</v>
      </c>
      <c r="F218" s="2" t="s">
        <v>819</v>
      </c>
      <c r="G218" s="2" t="s">
        <v>43</v>
      </c>
      <c r="H218" s="2" t="s">
        <v>44</v>
      </c>
      <c r="I218" s="2" t="s">
        <v>1245</v>
      </c>
      <c r="J218" s="2"/>
    </row>
    <row r="219" spans="1:10" ht="80" x14ac:dyDescent="0.2">
      <c r="A219" t="s">
        <v>899</v>
      </c>
      <c r="B219" s="2" t="s">
        <v>38</v>
      </c>
      <c r="C219" s="2" t="s">
        <v>39</v>
      </c>
      <c r="D219" s="2" t="s">
        <v>900</v>
      </c>
      <c r="E219" s="2" t="s">
        <v>901</v>
      </c>
      <c r="F219" s="2" t="s">
        <v>902</v>
      </c>
      <c r="G219" s="2" t="s">
        <v>43</v>
      </c>
      <c r="H219" s="2" t="s">
        <v>44</v>
      </c>
      <c r="I219" s="2" t="s">
        <v>1245</v>
      </c>
      <c r="J219" s="2"/>
    </row>
    <row r="220" spans="1:10" ht="80" x14ac:dyDescent="0.2">
      <c r="A220" t="s">
        <v>903</v>
      </c>
      <c r="B220" s="2" t="s">
        <v>38</v>
      </c>
      <c r="C220" s="2" t="s">
        <v>39</v>
      </c>
      <c r="D220" s="2" t="s">
        <v>904</v>
      </c>
      <c r="E220" s="2" t="s">
        <v>905</v>
      </c>
      <c r="F220" s="2" t="s">
        <v>906</v>
      </c>
      <c r="G220" s="2" t="s">
        <v>43</v>
      </c>
      <c r="H220" s="2" t="s">
        <v>44</v>
      </c>
      <c r="I220" s="2" t="s">
        <v>1245</v>
      </c>
      <c r="J220" s="2"/>
    </row>
    <row r="221" spans="1:10" ht="64" x14ac:dyDescent="0.2">
      <c r="A221" t="s">
        <v>907</v>
      </c>
      <c r="B221" s="2" t="s">
        <v>38</v>
      </c>
      <c r="C221" s="2" t="s">
        <v>39</v>
      </c>
      <c r="D221" s="2" t="s">
        <v>908</v>
      </c>
      <c r="E221" s="2" t="s">
        <v>909</v>
      </c>
      <c r="F221" s="2" t="s">
        <v>910</v>
      </c>
      <c r="G221" s="2" t="s">
        <v>43</v>
      </c>
      <c r="H221" s="2" t="s">
        <v>44</v>
      </c>
      <c r="I221" s="2" t="s">
        <v>1245</v>
      </c>
      <c r="J221" s="2"/>
    </row>
    <row r="222" spans="1:10" ht="80" x14ac:dyDescent="0.2">
      <c r="A222" t="s">
        <v>911</v>
      </c>
      <c r="B222" s="2" t="s">
        <v>38</v>
      </c>
      <c r="C222" s="2" t="s">
        <v>39</v>
      </c>
      <c r="D222" s="2" t="s">
        <v>912</v>
      </c>
      <c r="E222" s="2" t="s">
        <v>913</v>
      </c>
      <c r="F222" s="2" t="s">
        <v>914</v>
      </c>
      <c r="G222" s="2" t="s">
        <v>43</v>
      </c>
      <c r="H222" s="2" t="s">
        <v>44</v>
      </c>
      <c r="I222" s="2" t="s">
        <v>1245</v>
      </c>
      <c r="J222" s="2"/>
    </row>
    <row r="223" spans="1:10" ht="80" x14ac:dyDescent="0.2">
      <c r="A223" t="s">
        <v>915</v>
      </c>
      <c r="B223" s="2" t="s">
        <v>38</v>
      </c>
      <c r="C223" s="2" t="s">
        <v>39</v>
      </c>
      <c r="D223" s="2" t="s">
        <v>916</v>
      </c>
      <c r="E223" s="2" t="s">
        <v>917</v>
      </c>
      <c r="F223" s="2" t="s">
        <v>918</v>
      </c>
      <c r="G223" s="2" t="s">
        <v>43</v>
      </c>
      <c r="H223" s="2" t="s">
        <v>44</v>
      </c>
      <c r="I223" s="2" t="s">
        <v>1245</v>
      </c>
      <c r="J223" s="2"/>
    </row>
    <row r="224" spans="1:10" ht="80" x14ac:dyDescent="0.2">
      <c r="A224" t="s">
        <v>919</v>
      </c>
      <c r="B224" s="2" t="s">
        <v>38</v>
      </c>
      <c r="C224" s="2" t="s">
        <v>39</v>
      </c>
      <c r="D224" s="2" t="s">
        <v>920</v>
      </c>
      <c r="E224" s="2" t="s">
        <v>921</v>
      </c>
      <c r="F224" s="2" t="s">
        <v>922</v>
      </c>
      <c r="G224" s="2" t="s">
        <v>43</v>
      </c>
      <c r="H224" s="2" t="s">
        <v>44</v>
      </c>
      <c r="I224" s="2" t="s">
        <v>1245</v>
      </c>
      <c r="J224" s="2"/>
    </row>
    <row r="225" spans="1:10" ht="96" x14ac:dyDescent="0.2">
      <c r="A225" t="s">
        <v>923</v>
      </c>
      <c r="B225" s="2" t="s">
        <v>38</v>
      </c>
      <c r="C225" s="2" t="s">
        <v>39</v>
      </c>
      <c r="D225" s="2" t="s">
        <v>924</v>
      </c>
      <c r="E225" s="2" t="s">
        <v>925</v>
      </c>
      <c r="F225" s="2" t="s">
        <v>926</v>
      </c>
      <c r="G225" s="2" t="s">
        <v>43</v>
      </c>
      <c r="H225" s="2" t="s">
        <v>44</v>
      </c>
      <c r="I225" s="2" t="s">
        <v>1245</v>
      </c>
      <c r="J225" s="2"/>
    </row>
    <row r="226" spans="1:10" ht="144" x14ac:dyDescent="0.2">
      <c r="A226" t="s">
        <v>927</v>
      </c>
      <c r="B226" s="2" t="s">
        <v>38</v>
      </c>
      <c r="C226" s="2" t="s">
        <v>39</v>
      </c>
      <c r="D226" s="2" t="s">
        <v>928</v>
      </c>
      <c r="E226" s="2" t="s">
        <v>929</v>
      </c>
      <c r="F226" s="2" t="s">
        <v>930</v>
      </c>
      <c r="G226" s="2" t="s">
        <v>43</v>
      </c>
      <c r="H226" s="2" t="s">
        <v>44</v>
      </c>
      <c r="I226" s="2" t="s">
        <v>1245</v>
      </c>
      <c r="J226" s="2"/>
    </row>
    <row r="227" spans="1:10" ht="80" x14ac:dyDescent="0.2">
      <c r="A227" t="s">
        <v>931</v>
      </c>
      <c r="B227" s="2" t="s">
        <v>38</v>
      </c>
      <c r="C227" s="2" t="s">
        <v>39</v>
      </c>
      <c r="D227" s="2" t="s">
        <v>932</v>
      </c>
      <c r="E227" s="2" t="s">
        <v>933</v>
      </c>
      <c r="F227" s="2" t="s">
        <v>934</v>
      </c>
      <c r="G227" s="2" t="s">
        <v>43</v>
      </c>
      <c r="H227" s="2" t="s">
        <v>44</v>
      </c>
      <c r="I227" s="2" t="s">
        <v>1245</v>
      </c>
      <c r="J227" s="2"/>
    </row>
    <row r="228" spans="1:10" ht="80" x14ac:dyDescent="0.2">
      <c r="A228" t="s">
        <v>935</v>
      </c>
      <c r="B228" s="2" t="s">
        <v>38</v>
      </c>
      <c r="C228" s="2" t="s">
        <v>39</v>
      </c>
      <c r="D228" s="2" t="s">
        <v>936</v>
      </c>
      <c r="E228" s="2" t="s">
        <v>937</v>
      </c>
      <c r="F228" s="2" t="s">
        <v>938</v>
      </c>
      <c r="G228" s="2" t="s">
        <v>43</v>
      </c>
      <c r="H228" s="2" t="s">
        <v>44</v>
      </c>
      <c r="I228" s="2" t="s">
        <v>1245</v>
      </c>
      <c r="J228" s="2"/>
    </row>
    <row r="229" spans="1:10" ht="80" x14ac:dyDescent="0.2">
      <c r="A229" t="s">
        <v>939</v>
      </c>
      <c r="B229" s="2" t="s">
        <v>38</v>
      </c>
      <c r="C229" s="2" t="s">
        <v>39</v>
      </c>
      <c r="D229" s="2" t="s">
        <v>940</v>
      </c>
      <c r="E229" s="2" t="s">
        <v>941</v>
      </c>
      <c r="F229" s="2" t="s">
        <v>942</v>
      </c>
      <c r="G229" s="2" t="s">
        <v>43</v>
      </c>
      <c r="H229" s="2" t="s">
        <v>44</v>
      </c>
      <c r="I229" s="2" t="s">
        <v>1245</v>
      </c>
      <c r="J229" s="2"/>
    </row>
    <row r="230" spans="1:10" ht="112" x14ac:dyDescent="0.2">
      <c r="A230" t="s">
        <v>943</v>
      </c>
      <c r="B230" s="2" t="s">
        <v>38</v>
      </c>
      <c r="C230" s="2" t="s">
        <v>39</v>
      </c>
      <c r="D230" s="2" t="s">
        <v>944</v>
      </c>
      <c r="E230" s="2" t="s">
        <v>945</v>
      </c>
      <c r="F230" s="2" t="s">
        <v>946</v>
      </c>
      <c r="G230" s="2" t="s">
        <v>43</v>
      </c>
      <c r="H230" s="2" t="s">
        <v>44</v>
      </c>
      <c r="I230" s="2" t="s">
        <v>1245</v>
      </c>
      <c r="J230" s="2"/>
    </row>
    <row r="231" spans="1:10" ht="112" x14ac:dyDescent="0.2">
      <c r="A231" t="s">
        <v>947</v>
      </c>
      <c r="B231" s="2" t="s">
        <v>38</v>
      </c>
      <c r="C231" s="2" t="s">
        <v>39</v>
      </c>
      <c r="D231" s="2" t="s">
        <v>948</v>
      </c>
      <c r="E231" s="2" t="s">
        <v>949</v>
      </c>
      <c r="F231" s="2" t="s">
        <v>950</v>
      </c>
      <c r="G231" s="2" t="s">
        <v>43</v>
      </c>
      <c r="H231" s="2" t="s">
        <v>44</v>
      </c>
      <c r="I231" s="2" t="s">
        <v>1245</v>
      </c>
      <c r="J231" s="2"/>
    </row>
    <row r="232" spans="1:10" ht="96" x14ac:dyDescent="0.2">
      <c r="A232" t="s">
        <v>951</v>
      </c>
      <c r="B232" s="2" t="s">
        <v>38</v>
      </c>
      <c r="C232" s="2" t="s">
        <v>39</v>
      </c>
      <c r="D232" s="2" t="s">
        <v>952</v>
      </c>
      <c r="E232" s="2" t="s">
        <v>953</v>
      </c>
      <c r="F232" s="2" t="s">
        <v>954</v>
      </c>
      <c r="G232" s="2" t="s">
        <v>43</v>
      </c>
      <c r="H232" s="2" t="s">
        <v>44</v>
      </c>
      <c r="I232" s="2" t="s">
        <v>1245</v>
      </c>
      <c r="J232" s="2"/>
    </row>
    <row r="233" spans="1:10" ht="112" x14ac:dyDescent="0.2">
      <c r="A233" t="s">
        <v>955</v>
      </c>
      <c r="B233" s="2" t="s">
        <v>38</v>
      </c>
      <c r="C233" s="2" t="s">
        <v>39</v>
      </c>
      <c r="D233" s="2" t="s">
        <v>956</v>
      </c>
      <c r="E233" s="2" t="s">
        <v>957</v>
      </c>
      <c r="F233" s="2" t="s">
        <v>100</v>
      </c>
      <c r="G233" s="2" t="s">
        <v>43</v>
      </c>
      <c r="H233" s="2" t="s">
        <v>44</v>
      </c>
      <c r="I233" s="2" t="s">
        <v>1245</v>
      </c>
      <c r="J233" s="2"/>
    </row>
    <row r="234" spans="1:10" ht="64" x14ac:dyDescent="0.2">
      <c r="A234" t="s">
        <v>958</v>
      </c>
      <c r="B234" s="2" t="s">
        <v>38</v>
      </c>
      <c r="C234" s="2" t="s">
        <v>39</v>
      </c>
      <c r="D234" s="2" t="s">
        <v>959</v>
      </c>
      <c r="E234" s="2" t="s">
        <v>960</v>
      </c>
      <c r="F234" s="2" t="s">
        <v>961</v>
      </c>
      <c r="G234" s="2" t="s">
        <v>43</v>
      </c>
      <c r="H234" s="2" t="s">
        <v>44</v>
      </c>
      <c r="I234" s="2" t="s">
        <v>1245</v>
      </c>
      <c r="J234" s="2"/>
    </row>
    <row r="235" spans="1:10" ht="80" x14ac:dyDescent="0.2">
      <c r="A235" t="s">
        <v>962</v>
      </c>
      <c r="B235" s="2" t="s">
        <v>38</v>
      </c>
      <c r="C235" s="2" t="s">
        <v>39</v>
      </c>
      <c r="D235" s="2" t="s">
        <v>963</v>
      </c>
      <c r="E235" s="2" t="s">
        <v>964</v>
      </c>
      <c r="F235" s="2" t="s">
        <v>965</v>
      </c>
      <c r="G235" s="2" t="s">
        <v>43</v>
      </c>
      <c r="H235" s="2" t="s">
        <v>44</v>
      </c>
      <c r="I235" s="2" t="s">
        <v>1245</v>
      </c>
      <c r="J235" s="2"/>
    </row>
    <row r="236" spans="1:10" ht="80" x14ac:dyDescent="0.2">
      <c r="A236" t="s">
        <v>966</v>
      </c>
      <c r="B236" s="2" t="s">
        <v>38</v>
      </c>
      <c r="C236" s="2" t="s">
        <v>39</v>
      </c>
      <c r="D236" s="2" t="s">
        <v>967</v>
      </c>
      <c r="E236" s="2" t="s">
        <v>968</v>
      </c>
      <c r="F236" s="2" t="s">
        <v>969</v>
      </c>
      <c r="G236" s="2" t="s">
        <v>43</v>
      </c>
      <c r="H236" s="2" t="s">
        <v>44</v>
      </c>
      <c r="I236" s="2" t="s">
        <v>1245</v>
      </c>
      <c r="J236" s="2"/>
    </row>
    <row r="237" spans="1:10" ht="64" x14ac:dyDescent="0.2">
      <c r="A237" t="s">
        <v>970</v>
      </c>
      <c r="B237" s="2" t="s">
        <v>38</v>
      </c>
      <c r="C237" s="2" t="s">
        <v>39</v>
      </c>
      <c r="D237" s="2" t="s">
        <v>971</v>
      </c>
      <c r="E237" s="2" t="s">
        <v>972</v>
      </c>
      <c r="F237" s="2" t="s">
        <v>973</v>
      </c>
      <c r="G237" s="2" t="s">
        <v>43</v>
      </c>
      <c r="H237" s="2" t="s">
        <v>44</v>
      </c>
      <c r="I237" s="2" t="s">
        <v>1245</v>
      </c>
      <c r="J237" s="2"/>
    </row>
    <row r="238" spans="1:10" ht="128" x14ac:dyDescent="0.2">
      <c r="A238" t="s">
        <v>974</v>
      </c>
      <c r="B238" s="2" t="s">
        <v>38</v>
      </c>
      <c r="C238" s="2" t="s">
        <v>39</v>
      </c>
      <c r="D238" s="2" t="s">
        <v>975</v>
      </c>
      <c r="E238" s="2" t="s">
        <v>976</v>
      </c>
      <c r="F238" s="2" t="s">
        <v>977</v>
      </c>
      <c r="G238" s="2" t="s">
        <v>43</v>
      </c>
      <c r="H238" s="2" t="s">
        <v>44</v>
      </c>
      <c r="I238" s="2" t="s">
        <v>1245</v>
      </c>
      <c r="J238" s="2"/>
    </row>
    <row r="239" spans="1:10" ht="80" x14ac:dyDescent="0.2">
      <c r="A239" t="s">
        <v>978</v>
      </c>
      <c r="B239" s="2" t="s">
        <v>38</v>
      </c>
      <c r="C239" s="2" t="s">
        <v>39</v>
      </c>
      <c r="D239" s="2" t="s">
        <v>979</v>
      </c>
      <c r="E239" s="2" t="s">
        <v>980</v>
      </c>
      <c r="F239" s="2" t="s">
        <v>981</v>
      </c>
      <c r="G239" s="2" t="s">
        <v>43</v>
      </c>
      <c r="H239" s="2" t="s">
        <v>44</v>
      </c>
      <c r="I239" s="2" t="s">
        <v>1245</v>
      </c>
      <c r="J239" s="2"/>
    </row>
    <row r="240" spans="1:10" ht="80" x14ac:dyDescent="0.2">
      <c r="A240" t="s">
        <v>982</v>
      </c>
      <c r="B240" s="2" t="s">
        <v>38</v>
      </c>
      <c r="C240" s="2" t="s">
        <v>39</v>
      </c>
      <c r="D240" s="2" t="s">
        <v>983</v>
      </c>
      <c r="E240" s="2" t="s">
        <v>984</v>
      </c>
      <c r="F240" s="2" t="s">
        <v>985</v>
      </c>
      <c r="G240" s="2" t="s">
        <v>43</v>
      </c>
      <c r="H240" s="2" t="s">
        <v>44</v>
      </c>
      <c r="I240" s="2" t="s">
        <v>1245</v>
      </c>
      <c r="J240" s="2"/>
    </row>
    <row r="241" spans="1:10" ht="96" x14ac:dyDescent="0.2">
      <c r="A241" t="s">
        <v>986</v>
      </c>
      <c r="B241" s="2" t="s">
        <v>38</v>
      </c>
      <c r="C241" s="2" t="s">
        <v>39</v>
      </c>
      <c r="D241" s="2" t="s">
        <v>987</v>
      </c>
      <c r="E241" s="2" t="s">
        <v>988</v>
      </c>
      <c r="F241" s="2" t="s">
        <v>989</v>
      </c>
      <c r="G241" s="2" t="s">
        <v>43</v>
      </c>
      <c r="H241" s="2" t="s">
        <v>44</v>
      </c>
      <c r="I241" s="2" t="s">
        <v>1245</v>
      </c>
      <c r="J241" s="2"/>
    </row>
    <row r="242" spans="1:10" ht="112" x14ac:dyDescent="0.2">
      <c r="A242" t="s">
        <v>990</v>
      </c>
      <c r="B242" s="2" t="s">
        <v>38</v>
      </c>
      <c r="C242" s="2" t="s">
        <v>39</v>
      </c>
      <c r="D242" s="2" t="s">
        <v>991</v>
      </c>
      <c r="E242" s="2" t="s">
        <v>992</v>
      </c>
      <c r="F242" s="2" t="s">
        <v>993</v>
      </c>
      <c r="G242" s="2" t="s">
        <v>43</v>
      </c>
      <c r="H242" s="2" t="s">
        <v>44</v>
      </c>
      <c r="I242" s="2" t="s">
        <v>1245</v>
      </c>
      <c r="J242" s="2"/>
    </row>
    <row r="243" spans="1:10" ht="64" x14ac:dyDescent="0.2">
      <c r="A243" t="s">
        <v>994</v>
      </c>
      <c r="B243" s="2" t="s">
        <v>38</v>
      </c>
      <c r="C243" s="2" t="s">
        <v>39</v>
      </c>
      <c r="D243" s="2" t="s">
        <v>995</v>
      </c>
      <c r="E243" s="2" t="s">
        <v>996</v>
      </c>
      <c r="F243" s="2" t="s">
        <v>997</v>
      </c>
      <c r="G243" s="2" t="s">
        <v>43</v>
      </c>
      <c r="H243" s="2" t="s">
        <v>44</v>
      </c>
      <c r="I243" s="2" t="s">
        <v>1245</v>
      </c>
      <c r="J243" s="2"/>
    </row>
    <row r="244" spans="1:10" ht="64" x14ac:dyDescent="0.2">
      <c r="A244" t="s">
        <v>998</v>
      </c>
      <c r="B244" s="2" t="s">
        <v>38</v>
      </c>
      <c r="C244" s="2" t="s">
        <v>39</v>
      </c>
      <c r="D244" s="2" t="s">
        <v>999</v>
      </c>
      <c r="E244" s="2" t="s">
        <v>1000</v>
      </c>
      <c r="F244" s="2" t="s">
        <v>1001</v>
      </c>
      <c r="G244" s="2" t="s">
        <v>43</v>
      </c>
      <c r="H244" s="2" t="s">
        <v>44</v>
      </c>
      <c r="I244" s="2" t="s">
        <v>1245</v>
      </c>
      <c r="J244" s="2"/>
    </row>
    <row r="245" spans="1:10" ht="64" x14ac:dyDescent="0.2">
      <c r="A245" t="s">
        <v>1002</v>
      </c>
      <c r="B245" s="2" t="s">
        <v>38</v>
      </c>
      <c r="C245" s="2" t="s">
        <v>39</v>
      </c>
      <c r="D245" s="2" t="s">
        <v>1003</v>
      </c>
      <c r="E245" s="2" t="s">
        <v>1004</v>
      </c>
      <c r="F245" s="2" t="s">
        <v>1005</v>
      </c>
      <c r="G245" s="2" t="s">
        <v>43</v>
      </c>
      <c r="H245" s="2" t="s">
        <v>44</v>
      </c>
      <c r="I245" s="2" t="s">
        <v>1245</v>
      </c>
      <c r="J245" s="2"/>
    </row>
    <row r="246" spans="1:10" ht="80" x14ac:dyDescent="0.2">
      <c r="A246" t="s">
        <v>1006</v>
      </c>
      <c r="B246" s="2" t="s">
        <v>38</v>
      </c>
      <c r="C246" s="2" t="s">
        <v>39</v>
      </c>
      <c r="D246" s="2" t="s">
        <v>1007</v>
      </c>
      <c r="E246" s="2" t="s">
        <v>1008</v>
      </c>
      <c r="F246" s="2" t="s">
        <v>1009</v>
      </c>
      <c r="G246" s="2" t="s">
        <v>43</v>
      </c>
      <c r="H246" s="2" t="s">
        <v>44</v>
      </c>
      <c r="I246" s="2" t="s">
        <v>1245</v>
      </c>
      <c r="J246" s="2"/>
    </row>
    <row r="247" spans="1:10" ht="80" x14ac:dyDescent="0.2">
      <c r="A247" t="s">
        <v>1010</v>
      </c>
      <c r="B247" s="2" t="s">
        <v>38</v>
      </c>
      <c r="C247" s="2" t="s">
        <v>39</v>
      </c>
      <c r="D247" s="2" t="s">
        <v>1011</v>
      </c>
      <c r="E247" s="2" t="s">
        <v>1012</v>
      </c>
      <c r="F247" s="2" t="s">
        <v>1013</v>
      </c>
      <c r="G247" s="2" t="s">
        <v>43</v>
      </c>
      <c r="H247" s="2" t="s">
        <v>44</v>
      </c>
      <c r="I247" s="2" t="s">
        <v>1245</v>
      </c>
      <c r="J247" s="2"/>
    </row>
    <row r="248" spans="1:10" ht="112" x14ac:dyDescent="0.2">
      <c r="A248" t="s">
        <v>1014</v>
      </c>
      <c r="B248" s="2" t="s">
        <v>38</v>
      </c>
      <c r="C248" s="2" t="s">
        <v>39</v>
      </c>
      <c r="D248" s="2" t="s">
        <v>1015</v>
      </c>
      <c r="E248" s="2" t="s">
        <v>1016</v>
      </c>
      <c r="F248" s="2" t="s">
        <v>1017</v>
      </c>
      <c r="G248" s="2" t="s">
        <v>43</v>
      </c>
      <c r="H248" s="2" t="s">
        <v>44</v>
      </c>
      <c r="I248" s="2" t="s">
        <v>1245</v>
      </c>
      <c r="J248" s="2"/>
    </row>
    <row r="249" spans="1:10" ht="96" x14ac:dyDescent="0.2">
      <c r="A249" t="s">
        <v>1018</v>
      </c>
      <c r="B249" s="2" t="s">
        <v>38</v>
      </c>
      <c r="C249" s="2" t="s">
        <v>39</v>
      </c>
      <c r="D249" s="2" t="s">
        <v>1019</v>
      </c>
      <c r="E249" s="2" t="s">
        <v>1020</v>
      </c>
      <c r="F249" s="2" t="s">
        <v>1021</v>
      </c>
      <c r="G249" s="2" t="s">
        <v>43</v>
      </c>
      <c r="H249" s="2" t="s">
        <v>44</v>
      </c>
      <c r="I249" s="2" t="s">
        <v>1245</v>
      </c>
      <c r="J249" s="2"/>
    </row>
    <row r="250" spans="1:10" ht="80" x14ac:dyDescent="0.2">
      <c r="A250" t="s">
        <v>1022</v>
      </c>
      <c r="B250" s="2" t="s">
        <v>38</v>
      </c>
      <c r="C250" s="2" t="s">
        <v>39</v>
      </c>
      <c r="D250" s="2" t="s">
        <v>1023</v>
      </c>
      <c r="E250" s="2" t="s">
        <v>1024</v>
      </c>
      <c r="F250" s="2" t="s">
        <v>1025</v>
      </c>
      <c r="G250" s="2" t="s">
        <v>43</v>
      </c>
      <c r="H250" s="2" t="s">
        <v>44</v>
      </c>
      <c r="I250" s="2" t="s">
        <v>1245</v>
      </c>
      <c r="J250" s="2"/>
    </row>
    <row r="251" spans="1:10" ht="80" x14ac:dyDescent="0.2">
      <c r="A251" t="s">
        <v>1026</v>
      </c>
      <c r="B251" s="2" t="s">
        <v>38</v>
      </c>
      <c r="C251" s="2" t="s">
        <v>39</v>
      </c>
      <c r="D251" s="2" t="s">
        <v>1027</v>
      </c>
      <c r="E251" s="2" t="s">
        <v>1028</v>
      </c>
      <c r="F251" s="2" t="s">
        <v>1029</v>
      </c>
      <c r="G251" s="2" t="s">
        <v>43</v>
      </c>
      <c r="H251" s="2" t="s">
        <v>44</v>
      </c>
      <c r="I251" s="2" t="s">
        <v>1245</v>
      </c>
      <c r="J251" s="2"/>
    </row>
    <row r="252" spans="1:10" ht="96" x14ac:dyDescent="0.2">
      <c r="A252" t="s">
        <v>1030</v>
      </c>
      <c r="B252" s="2" t="s">
        <v>38</v>
      </c>
      <c r="C252" s="2" t="s">
        <v>39</v>
      </c>
      <c r="D252" s="2" t="s">
        <v>1031</v>
      </c>
      <c r="E252" s="2" t="s">
        <v>1032</v>
      </c>
      <c r="F252" s="2" t="s">
        <v>1033</v>
      </c>
      <c r="G252" s="2" t="s">
        <v>43</v>
      </c>
      <c r="H252" s="2" t="s">
        <v>44</v>
      </c>
      <c r="I252" s="2" t="s">
        <v>1245</v>
      </c>
      <c r="J252" s="2"/>
    </row>
    <row r="253" spans="1:10" ht="80" x14ac:dyDescent="0.2">
      <c r="A253" t="s">
        <v>1034</v>
      </c>
      <c r="B253" s="2" t="s">
        <v>38</v>
      </c>
      <c r="C253" s="2" t="s">
        <v>39</v>
      </c>
      <c r="D253" s="2" t="s">
        <v>1035</v>
      </c>
      <c r="E253" s="2" t="s">
        <v>1036</v>
      </c>
      <c r="F253" s="2" t="s">
        <v>1037</v>
      </c>
      <c r="G253" s="2" t="s">
        <v>43</v>
      </c>
      <c r="H253" s="2" t="s">
        <v>44</v>
      </c>
      <c r="I253" s="2" t="s">
        <v>1245</v>
      </c>
      <c r="J253" s="2"/>
    </row>
    <row r="254" spans="1:10" ht="96" x14ac:dyDescent="0.2">
      <c r="A254" t="s">
        <v>1038</v>
      </c>
      <c r="B254" s="2" t="s">
        <v>38</v>
      </c>
      <c r="C254" s="2" t="s">
        <v>39</v>
      </c>
      <c r="D254" s="2" t="s">
        <v>1039</v>
      </c>
      <c r="E254" s="2" t="s">
        <v>1040</v>
      </c>
      <c r="F254" s="2" t="s">
        <v>1041</v>
      </c>
      <c r="G254" s="2" t="s">
        <v>43</v>
      </c>
      <c r="H254" s="2" t="s">
        <v>44</v>
      </c>
      <c r="I254" s="2" t="s">
        <v>1245</v>
      </c>
      <c r="J254" s="2"/>
    </row>
    <row r="255" spans="1:10" ht="64" x14ac:dyDescent="0.2">
      <c r="A255" t="s">
        <v>1042</v>
      </c>
      <c r="B255" s="2" t="s">
        <v>38</v>
      </c>
      <c r="C255" s="2" t="s">
        <v>39</v>
      </c>
      <c r="D255" s="2" t="s">
        <v>1043</v>
      </c>
      <c r="E255" s="2" t="s">
        <v>1044</v>
      </c>
      <c r="F255" s="2" t="s">
        <v>1045</v>
      </c>
      <c r="G255" s="2" t="s">
        <v>43</v>
      </c>
      <c r="H255" s="2" t="s">
        <v>44</v>
      </c>
      <c r="I255" s="2" t="s">
        <v>1245</v>
      </c>
      <c r="J255" s="2"/>
    </row>
    <row r="256" spans="1:10" ht="80" x14ac:dyDescent="0.2">
      <c r="A256" t="s">
        <v>1046</v>
      </c>
      <c r="B256" s="2" t="s">
        <v>38</v>
      </c>
      <c r="C256" s="2" t="s">
        <v>39</v>
      </c>
      <c r="D256" s="2" t="s">
        <v>1047</v>
      </c>
      <c r="E256" s="2" t="s">
        <v>1048</v>
      </c>
      <c r="F256" s="2" t="s">
        <v>1049</v>
      </c>
      <c r="G256" s="2" t="s">
        <v>43</v>
      </c>
      <c r="H256" s="2" t="s">
        <v>44</v>
      </c>
      <c r="I256" s="2" t="s">
        <v>1245</v>
      </c>
      <c r="J256" s="2"/>
    </row>
    <row r="257" spans="1:10" ht="96" x14ac:dyDescent="0.2">
      <c r="A257" t="s">
        <v>1050</v>
      </c>
      <c r="B257" s="2" t="s">
        <v>38</v>
      </c>
      <c r="C257" s="2" t="s">
        <v>39</v>
      </c>
      <c r="D257" s="2" t="s">
        <v>1051</v>
      </c>
      <c r="E257" s="2" t="s">
        <v>1052</v>
      </c>
      <c r="F257" s="2" t="s">
        <v>1053</v>
      </c>
      <c r="G257" s="2" t="s">
        <v>43</v>
      </c>
      <c r="H257" s="2" t="s">
        <v>44</v>
      </c>
      <c r="I257" s="2" t="s">
        <v>1245</v>
      </c>
      <c r="J257" s="2"/>
    </row>
    <row r="258" spans="1:10" ht="80" x14ac:dyDescent="0.2">
      <c r="A258" t="s">
        <v>1054</v>
      </c>
      <c r="B258" s="2" t="s">
        <v>38</v>
      </c>
      <c r="C258" s="2" t="s">
        <v>39</v>
      </c>
      <c r="D258" s="2" t="s">
        <v>1055</v>
      </c>
      <c r="E258" s="2" t="s">
        <v>1056</v>
      </c>
      <c r="F258" s="2" t="s">
        <v>1057</v>
      </c>
      <c r="G258" s="2" t="s">
        <v>43</v>
      </c>
      <c r="H258" s="2" t="s">
        <v>44</v>
      </c>
      <c r="I258" s="2" t="s">
        <v>1245</v>
      </c>
      <c r="J258" s="2"/>
    </row>
    <row r="259" spans="1:10" ht="112" x14ac:dyDescent="0.2">
      <c r="A259" t="s">
        <v>1058</v>
      </c>
      <c r="B259" s="2" t="s">
        <v>38</v>
      </c>
      <c r="C259" s="2" t="s">
        <v>39</v>
      </c>
      <c r="D259" s="2" t="s">
        <v>1059</v>
      </c>
      <c r="E259" s="2" t="s">
        <v>1060</v>
      </c>
      <c r="F259" s="2" t="s">
        <v>702</v>
      </c>
      <c r="G259" s="2" t="s">
        <v>43</v>
      </c>
      <c r="H259" s="2" t="s">
        <v>44</v>
      </c>
      <c r="I259" s="2" t="s">
        <v>1245</v>
      </c>
      <c r="J259" s="2"/>
    </row>
    <row r="260" spans="1:10" ht="80" x14ac:dyDescent="0.2">
      <c r="A260" t="s">
        <v>1061</v>
      </c>
      <c r="B260" s="2" t="s">
        <v>38</v>
      </c>
      <c r="C260" s="2" t="s">
        <v>39</v>
      </c>
      <c r="D260" s="2" t="s">
        <v>1062</v>
      </c>
      <c r="E260" s="2" t="s">
        <v>1063</v>
      </c>
      <c r="F260" s="2" t="s">
        <v>1064</v>
      </c>
      <c r="G260" s="2" t="s">
        <v>43</v>
      </c>
      <c r="H260" s="2" t="s">
        <v>44</v>
      </c>
      <c r="I260" s="2" t="s">
        <v>1245</v>
      </c>
      <c r="J260" s="2"/>
    </row>
    <row r="261" spans="1:10" ht="48" x14ac:dyDescent="0.2">
      <c r="A261" t="s">
        <v>1065</v>
      </c>
      <c r="B261" s="2" t="s">
        <v>38</v>
      </c>
      <c r="C261" s="2" t="s">
        <v>39</v>
      </c>
      <c r="D261" s="2" t="s">
        <v>1066</v>
      </c>
      <c r="E261" s="2" t="s">
        <v>1067</v>
      </c>
      <c r="F261" s="2" t="s">
        <v>1068</v>
      </c>
      <c r="G261" s="2" t="s">
        <v>43</v>
      </c>
      <c r="H261" s="2" t="s">
        <v>44</v>
      </c>
      <c r="I261" s="2" t="s">
        <v>1245</v>
      </c>
      <c r="J261" s="2"/>
    </row>
    <row r="262" spans="1:10" ht="64" x14ac:dyDescent="0.2">
      <c r="A262" t="s">
        <v>1069</v>
      </c>
      <c r="B262" s="2" t="s">
        <v>38</v>
      </c>
      <c r="C262" s="2" t="s">
        <v>1070</v>
      </c>
      <c r="D262" s="2" t="s">
        <v>1071</v>
      </c>
      <c r="E262" s="2" t="s">
        <v>1072</v>
      </c>
      <c r="F262" s="2" t="s">
        <v>1073</v>
      </c>
      <c r="G262" s="2" t="s">
        <v>1074</v>
      </c>
      <c r="H262" s="2" t="s">
        <v>1075</v>
      </c>
      <c r="I262" s="2" t="s">
        <v>1245</v>
      </c>
      <c r="J262" s="2"/>
    </row>
    <row r="263" spans="1:10" ht="48" x14ac:dyDescent="0.2">
      <c r="A263" t="s">
        <v>1076</v>
      </c>
      <c r="B263" s="2" t="s">
        <v>38</v>
      </c>
      <c r="C263" s="2" t="s">
        <v>1070</v>
      </c>
      <c r="D263" s="2" t="s">
        <v>1077</v>
      </c>
      <c r="E263" s="2" t="s">
        <v>1078</v>
      </c>
      <c r="F263" s="2" t="s">
        <v>1073</v>
      </c>
      <c r="G263" s="2" t="s">
        <v>1074</v>
      </c>
      <c r="H263" s="2" t="s">
        <v>1075</v>
      </c>
      <c r="I263" s="2" t="s">
        <v>1245</v>
      </c>
      <c r="J263" s="2"/>
    </row>
    <row r="264" spans="1:10" ht="32" x14ac:dyDescent="0.2">
      <c r="A264" t="s">
        <v>1079</v>
      </c>
      <c r="B264" s="2" t="s">
        <v>1080</v>
      </c>
      <c r="C264" s="2" t="s">
        <v>1081</v>
      </c>
      <c r="D264" s="2" t="s">
        <v>1082</v>
      </c>
      <c r="E264" s="2" t="s">
        <v>1083</v>
      </c>
      <c r="F264" s="2" t="s">
        <v>1084</v>
      </c>
      <c r="G264" s="2" t="s">
        <v>1085</v>
      </c>
      <c r="H264" s="2" t="s">
        <v>1086</v>
      </c>
      <c r="I264" s="2" t="s">
        <v>1245</v>
      </c>
      <c r="J264" s="2"/>
    </row>
    <row r="265" spans="1:10" ht="32" x14ac:dyDescent="0.2">
      <c r="A265" t="s">
        <v>1087</v>
      </c>
      <c r="B265" s="2" t="s">
        <v>1080</v>
      </c>
      <c r="C265" s="2" t="s">
        <v>1081</v>
      </c>
      <c r="D265" s="2" t="s">
        <v>1088</v>
      </c>
      <c r="E265" s="2" t="s">
        <v>1089</v>
      </c>
      <c r="F265" s="2" t="s">
        <v>1084</v>
      </c>
      <c r="G265" s="2" t="s">
        <v>1085</v>
      </c>
      <c r="H265" s="2" t="s">
        <v>1086</v>
      </c>
      <c r="I265" s="2" t="s">
        <v>1245</v>
      </c>
      <c r="J265" s="2"/>
    </row>
    <row r="266" spans="1:10" ht="32" x14ac:dyDescent="0.2">
      <c r="A266" t="s">
        <v>1090</v>
      </c>
      <c r="B266" s="2" t="s">
        <v>1080</v>
      </c>
      <c r="C266" s="2" t="s">
        <v>1081</v>
      </c>
      <c r="D266" s="2" t="s">
        <v>1091</v>
      </c>
      <c r="E266" s="2" t="s">
        <v>1092</v>
      </c>
      <c r="F266" s="2" t="s">
        <v>1084</v>
      </c>
      <c r="G266" s="2" t="s">
        <v>1085</v>
      </c>
      <c r="H266" s="2" t="s">
        <v>1086</v>
      </c>
      <c r="I266" s="2" t="s">
        <v>1245</v>
      </c>
      <c r="J266" s="2"/>
    </row>
    <row r="267" spans="1:10" ht="32" x14ac:dyDescent="0.2">
      <c r="A267" t="s">
        <v>1093</v>
      </c>
      <c r="B267" s="2" t="s">
        <v>1080</v>
      </c>
      <c r="C267" s="2" t="s">
        <v>1081</v>
      </c>
      <c r="D267" s="2" t="s">
        <v>1094</v>
      </c>
      <c r="E267" s="2" t="s">
        <v>1095</v>
      </c>
      <c r="F267" s="2" t="s">
        <v>1084</v>
      </c>
      <c r="G267" s="2" t="s">
        <v>1085</v>
      </c>
      <c r="H267" s="2" t="s">
        <v>1086</v>
      </c>
      <c r="I267" s="2" t="s">
        <v>1245</v>
      </c>
      <c r="J267" s="2"/>
    </row>
    <row r="268" spans="1:10" ht="32" x14ac:dyDescent="0.2">
      <c r="A268" t="s">
        <v>1096</v>
      </c>
      <c r="B268" s="2" t="s">
        <v>1080</v>
      </c>
      <c r="C268" s="2" t="s">
        <v>1081</v>
      </c>
      <c r="D268" s="2" t="s">
        <v>1097</v>
      </c>
      <c r="E268" s="2" t="s">
        <v>1098</v>
      </c>
      <c r="F268" s="2" t="s">
        <v>1084</v>
      </c>
      <c r="G268" s="2" t="s">
        <v>1085</v>
      </c>
      <c r="H268" s="2" t="s">
        <v>1086</v>
      </c>
      <c r="I268" s="2" t="s">
        <v>1245</v>
      </c>
      <c r="J268" s="2"/>
    </row>
    <row r="269" spans="1:10" ht="48" x14ac:dyDescent="0.2">
      <c r="A269" t="s">
        <v>1099</v>
      </c>
      <c r="B269" s="2" t="s">
        <v>1080</v>
      </c>
      <c r="C269" s="2" t="s">
        <v>1081</v>
      </c>
      <c r="D269" s="2" t="s">
        <v>1100</v>
      </c>
      <c r="E269" s="2" t="s">
        <v>1101</v>
      </c>
      <c r="F269" s="2" t="s">
        <v>1084</v>
      </c>
      <c r="G269" s="2" t="s">
        <v>1085</v>
      </c>
      <c r="H269" s="2" t="s">
        <v>1086</v>
      </c>
      <c r="I269" s="2" t="s">
        <v>1245</v>
      </c>
      <c r="J269" s="2"/>
    </row>
    <row r="270" spans="1:10" ht="32" x14ac:dyDescent="0.2">
      <c r="A270" t="s">
        <v>1102</v>
      </c>
      <c r="B270" s="2" t="s">
        <v>1080</v>
      </c>
      <c r="C270" s="2" t="s">
        <v>1081</v>
      </c>
      <c r="D270" s="2" t="s">
        <v>1103</v>
      </c>
      <c r="E270" s="2" t="s">
        <v>1104</v>
      </c>
      <c r="F270" s="2" t="s">
        <v>1084</v>
      </c>
      <c r="G270" s="2" t="s">
        <v>1085</v>
      </c>
      <c r="H270" s="2" t="s">
        <v>1086</v>
      </c>
      <c r="I270" s="2" t="s">
        <v>1245</v>
      </c>
      <c r="J270" s="2"/>
    </row>
    <row r="271" spans="1:10" ht="32" x14ac:dyDescent="0.2">
      <c r="A271" t="s">
        <v>1105</v>
      </c>
      <c r="B271" s="2" t="s">
        <v>1080</v>
      </c>
      <c r="C271" s="2" t="s">
        <v>1081</v>
      </c>
      <c r="D271" s="2" t="s">
        <v>1106</v>
      </c>
      <c r="E271" s="2" t="s">
        <v>1107</v>
      </c>
      <c r="F271" s="2" t="s">
        <v>1084</v>
      </c>
      <c r="G271" s="2" t="s">
        <v>1085</v>
      </c>
      <c r="H271" s="2" t="s">
        <v>1086</v>
      </c>
      <c r="I271" s="2" t="s">
        <v>1245</v>
      </c>
      <c r="J271" s="2"/>
    </row>
    <row r="272" spans="1:10" ht="32" x14ac:dyDescent="0.2">
      <c r="A272" t="s">
        <v>1108</v>
      </c>
      <c r="B272" s="2" t="s">
        <v>1080</v>
      </c>
      <c r="C272" s="2" t="s">
        <v>1081</v>
      </c>
      <c r="D272" s="2" t="s">
        <v>1109</v>
      </c>
      <c r="E272" s="2" t="s">
        <v>1110</v>
      </c>
      <c r="F272" s="2" t="s">
        <v>1084</v>
      </c>
      <c r="G272" s="2" t="s">
        <v>1085</v>
      </c>
      <c r="H272" s="2" t="s">
        <v>1086</v>
      </c>
      <c r="I272" s="2" t="s">
        <v>1245</v>
      </c>
      <c r="J272" s="2"/>
    </row>
    <row r="273" spans="1:10" ht="32" x14ac:dyDescent="0.2">
      <c r="A273" t="s">
        <v>1111</v>
      </c>
      <c r="B273" s="2" t="s">
        <v>1080</v>
      </c>
      <c r="C273" s="2" t="s">
        <v>1081</v>
      </c>
      <c r="D273" s="2" t="s">
        <v>1112</v>
      </c>
      <c r="E273" s="2" t="s">
        <v>1113</v>
      </c>
      <c r="F273" s="2" t="s">
        <v>1084</v>
      </c>
      <c r="G273" s="2" t="s">
        <v>1085</v>
      </c>
      <c r="H273" s="2" t="s">
        <v>1086</v>
      </c>
      <c r="I273" s="2" t="s">
        <v>1245</v>
      </c>
      <c r="J273" s="2"/>
    </row>
    <row r="274" spans="1:10" ht="32" x14ac:dyDescent="0.2">
      <c r="A274" t="s">
        <v>1114</v>
      </c>
      <c r="B274" s="2" t="s">
        <v>1080</v>
      </c>
      <c r="C274" s="2" t="s">
        <v>1081</v>
      </c>
      <c r="D274" s="2" t="s">
        <v>1115</v>
      </c>
      <c r="E274" s="2" t="s">
        <v>1116</v>
      </c>
      <c r="F274" s="2" t="s">
        <v>1084</v>
      </c>
      <c r="G274" s="2" t="s">
        <v>1085</v>
      </c>
      <c r="H274" s="2" t="s">
        <v>1086</v>
      </c>
      <c r="I274" s="2" t="s">
        <v>1245</v>
      </c>
      <c r="J274" s="2"/>
    </row>
    <row r="275" spans="1:10" ht="32" x14ac:dyDescent="0.2">
      <c r="A275" t="s">
        <v>1117</v>
      </c>
      <c r="B275" s="2" t="s">
        <v>1080</v>
      </c>
      <c r="C275" s="2" t="s">
        <v>1081</v>
      </c>
      <c r="D275" s="2" t="s">
        <v>1118</v>
      </c>
      <c r="E275" s="2" t="s">
        <v>1119</v>
      </c>
      <c r="F275" s="2" t="s">
        <v>1084</v>
      </c>
      <c r="G275" s="2" t="s">
        <v>1085</v>
      </c>
      <c r="H275" s="2" t="s">
        <v>1086</v>
      </c>
      <c r="I275" s="2" t="s">
        <v>1245</v>
      </c>
      <c r="J275" s="2"/>
    </row>
    <row r="276" spans="1:10" ht="32" x14ac:dyDescent="0.2">
      <c r="A276" t="s">
        <v>1120</v>
      </c>
      <c r="B276" s="2" t="s">
        <v>1080</v>
      </c>
      <c r="C276" s="2" t="s">
        <v>1081</v>
      </c>
      <c r="D276" s="2" t="s">
        <v>1121</v>
      </c>
      <c r="E276" s="2" t="s">
        <v>1122</v>
      </c>
      <c r="F276" s="2" t="s">
        <v>1084</v>
      </c>
      <c r="G276" s="2" t="s">
        <v>1085</v>
      </c>
      <c r="H276" s="2" t="s">
        <v>1086</v>
      </c>
      <c r="I276" s="2" t="s">
        <v>1245</v>
      </c>
      <c r="J276" s="2"/>
    </row>
    <row r="277" spans="1:10" ht="32" x14ac:dyDescent="0.2">
      <c r="A277" t="s">
        <v>1123</v>
      </c>
      <c r="B277" s="2" t="s">
        <v>1080</v>
      </c>
      <c r="C277" s="2" t="s">
        <v>1081</v>
      </c>
      <c r="D277" s="2" t="s">
        <v>1124</v>
      </c>
      <c r="E277" s="2" t="s">
        <v>1125</v>
      </c>
      <c r="F277" s="2" t="s">
        <v>1084</v>
      </c>
      <c r="G277" s="2" t="s">
        <v>1085</v>
      </c>
      <c r="H277" s="2" t="s">
        <v>1086</v>
      </c>
      <c r="I277" s="2" t="s">
        <v>1245</v>
      </c>
      <c r="J277" s="2"/>
    </row>
    <row r="278" spans="1:10" ht="32" x14ac:dyDescent="0.2">
      <c r="A278" t="s">
        <v>1126</v>
      </c>
      <c r="B278" s="2" t="s">
        <v>1080</v>
      </c>
      <c r="C278" s="2" t="s">
        <v>1081</v>
      </c>
      <c r="D278" s="2" t="s">
        <v>1127</v>
      </c>
      <c r="E278" s="2" t="s">
        <v>1128</v>
      </c>
      <c r="F278" s="2" t="s">
        <v>1084</v>
      </c>
      <c r="G278" s="2" t="s">
        <v>1085</v>
      </c>
      <c r="H278" s="2" t="s">
        <v>1086</v>
      </c>
      <c r="I278" s="2" t="s">
        <v>1245</v>
      </c>
      <c r="J278" s="2"/>
    </row>
    <row r="279" spans="1:10" ht="32" x14ac:dyDescent="0.2">
      <c r="A279" t="s">
        <v>1129</v>
      </c>
      <c r="B279" s="2" t="s">
        <v>1080</v>
      </c>
      <c r="C279" s="2" t="s">
        <v>1081</v>
      </c>
      <c r="D279" s="2" t="s">
        <v>1130</v>
      </c>
      <c r="E279" s="2" t="s">
        <v>1131</v>
      </c>
      <c r="F279" s="2" t="s">
        <v>1084</v>
      </c>
      <c r="G279" s="2" t="s">
        <v>1085</v>
      </c>
      <c r="H279" s="2" t="s">
        <v>1086</v>
      </c>
      <c r="I279" s="2" t="s">
        <v>1245</v>
      </c>
      <c r="J279" s="2"/>
    </row>
    <row r="280" spans="1:10" ht="32" x14ac:dyDescent="0.2">
      <c r="A280" t="s">
        <v>1132</v>
      </c>
      <c r="B280" s="2" t="s">
        <v>1080</v>
      </c>
      <c r="C280" s="2" t="s">
        <v>1081</v>
      </c>
      <c r="D280" s="2" t="s">
        <v>1133</v>
      </c>
      <c r="E280" s="2" t="s">
        <v>1134</v>
      </c>
      <c r="F280" s="2" t="s">
        <v>1084</v>
      </c>
      <c r="G280" s="2" t="s">
        <v>1085</v>
      </c>
      <c r="H280" s="2" t="s">
        <v>1086</v>
      </c>
      <c r="I280" s="2" t="s">
        <v>1245</v>
      </c>
      <c r="J280" s="2"/>
    </row>
    <row r="281" spans="1:10" ht="32" x14ac:dyDescent="0.2">
      <c r="A281" t="s">
        <v>1135</v>
      </c>
      <c r="B281" s="2" t="s">
        <v>1080</v>
      </c>
      <c r="C281" s="2" t="s">
        <v>1081</v>
      </c>
      <c r="D281" s="2" t="s">
        <v>1136</v>
      </c>
      <c r="E281" s="2" t="s">
        <v>1137</v>
      </c>
      <c r="F281" s="2" t="s">
        <v>1084</v>
      </c>
      <c r="G281" s="2" t="s">
        <v>1085</v>
      </c>
      <c r="H281" s="2" t="s">
        <v>1086</v>
      </c>
      <c r="I281" s="2" t="s">
        <v>1245</v>
      </c>
      <c r="J281" s="2"/>
    </row>
    <row r="282" spans="1:10" ht="32" x14ac:dyDescent="0.2">
      <c r="A282" t="s">
        <v>1138</v>
      </c>
      <c r="B282" s="2" t="s">
        <v>1080</v>
      </c>
      <c r="C282" s="2" t="s">
        <v>1139</v>
      </c>
      <c r="D282" s="2" t="s">
        <v>1140</v>
      </c>
      <c r="E282" s="2" t="s">
        <v>1141</v>
      </c>
      <c r="F282" s="2" t="s">
        <v>1142</v>
      </c>
      <c r="G282" s="2" t="s">
        <v>1143</v>
      </c>
      <c r="H282" s="2" t="s">
        <v>1144</v>
      </c>
      <c r="I282" s="2" t="s">
        <v>1245</v>
      </c>
      <c r="J282" s="2"/>
    </row>
    <row r="283" spans="1:10" ht="32" x14ac:dyDescent="0.2">
      <c r="A283" t="s">
        <v>1145</v>
      </c>
      <c r="B283" s="2" t="s">
        <v>1080</v>
      </c>
      <c r="C283" s="2" t="s">
        <v>1139</v>
      </c>
      <c r="D283" s="2" t="s">
        <v>1146</v>
      </c>
      <c r="E283" s="2" t="s">
        <v>1141</v>
      </c>
      <c r="F283" s="2" t="s">
        <v>1142</v>
      </c>
      <c r="G283" s="2" t="s">
        <v>1143</v>
      </c>
      <c r="H283" s="2" t="s">
        <v>1144</v>
      </c>
      <c r="I283" s="2" t="s">
        <v>1245</v>
      </c>
      <c r="J283" s="2"/>
    </row>
    <row r="284" spans="1:10" ht="32" x14ac:dyDescent="0.2">
      <c r="A284" t="s">
        <v>1147</v>
      </c>
      <c r="B284" s="2" t="s">
        <v>1080</v>
      </c>
      <c r="C284" s="2" t="s">
        <v>1139</v>
      </c>
      <c r="D284" s="2" t="s">
        <v>1148</v>
      </c>
      <c r="E284" s="2" t="s">
        <v>1149</v>
      </c>
      <c r="F284" s="2" t="s">
        <v>1142</v>
      </c>
      <c r="G284" s="2" t="s">
        <v>1143</v>
      </c>
      <c r="H284" s="2" t="s">
        <v>1144</v>
      </c>
      <c r="I284" s="2" t="s">
        <v>1245</v>
      </c>
      <c r="J284" s="2"/>
    </row>
    <row r="285" spans="1:10" ht="32" x14ac:dyDescent="0.2">
      <c r="A285" t="s">
        <v>1150</v>
      </c>
      <c r="B285" s="2" t="s">
        <v>1080</v>
      </c>
      <c r="C285" s="2" t="s">
        <v>1139</v>
      </c>
      <c r="D285" s="2" t="s">
        <v>1151</v>
      </c>
      <c r="E285" s="2" t="s">
        <v>1152</v>
      </c>
      <c r="F285" s="2" t="s">
        <v>1142</v>
      </c>
      <c r="G285" s="2" t="s">
        <v>1143</v>
      </c>
      <c r="H285" s="2" t="s">
        <v>1144</v>
      </c>
      <c r="I285" s="2" t="s">
        <v>1245</v>
      </c>
      <c r="J285" s="2"/>
    </row>
    <row r="286" spans="1:10" ht="32" x14ac:dyDescent="0.2">
      <c r="A286" t="s">
        <v>1153</v>
      </c>
      <c r="B286" s="2" t="s">
        <v>1080</v>
      </c>
      <c r="C286" s="2" t="s">
        <v>1139</v>
      </c>
      <c r="D286" s="2" t="s">
        <v>1154</v>
      </c>
      <c r="E286" s="2" t="s">
        <v>1155</v>
      </c>
      <c r="F286" s="2" t="s">
        <v>1142</v>
      </c>
      <c r="G286" s="2" t="s">
        <v>1143</v>
      </c>
      <c r="H286" s="2" t="s">
        <v>1144</v>
      </c>
      <c r="I286" s="2" t="s">
        <v>1245</v>
      </c>
      <c r="J286" s="2"/>
    </row>
    <row r="287" spans="1:10" ht="32" x14ac:dyDescent="0.2">
      <c r="A287" t="s">
        <v>1156</v>
      </c>
      <c r="B287" s="2" t="s">
        <v>1080</v>
      </c>
      <c r="C287" s="2" t="s">
        <v>1139</v>
      </c>
      <c r="D287" s="2" t="s">
        <v>1157</v>
      </c>
      <c r="E287" s="2" t="s">
        <v>1158</v>
      </c>
      <c r="F287" s="2" t="s">
        <v>1142</v>
      </c>
      <c r="G287" s="2" t="s">
        <v>1143</v>
      </c>
      <c r="H287" s="2" t="s">
        <v>1144</v>
      </c>
      <c r="I287" s="2" t="s">
        <v>1245</v>
      </c>
      <c r="J287" s="2"/>
    </row>
    <row r="288" spans="1:10" ht="32" x14ac:dyDescent="0.2">
      <c r="A288" t="s">
        <v>1159</v>
      </c>
      <c r="B288" s="2" t="s">
        <v>1080</v>
      </c>
      <c r="C288" s="2" t="s">
        <v>1139</v>
      </c>
      <c r="D288" s="2" t="s">
        <v>1160</v>
      </c>
      <c r="E288" s="2" t="s">
        <v>1161</v>
      </c>
      <c r="F288" s="2" t="s">
        <v>1142</v>
      </c>
      <c r="G288" s="2" t="s">
        <v>1143</v>
      </c>
      <c r="H288" s="2" t="s">
        <v>1144</v>
      </c>
      <c r="I288" s="2" t="s">
        <v>1245</v>
      </c>
      <c r="J288" s="2"/>
    </row>
    <row r="289" spans="1:10" ht="32" x14ac:dyDescent="0.2">
      <c r="A289" t="s">
        <v>1162</v>
      </c>
      <c r="B289" s="2" t="s">
        <v>1080</v>
      </c>
      <c r="C289" s="2" t="s">
        <v>1139</v>
      </c>
      <c r="D289" s="2" t="s">
        <v>1163</v>
      </c>
      <c r="E289" s="2" t="s">
        <v>1164</v>
      </c>
      <c r="F289" s="2" t="s">
        <v>1142</v>
      </c>
      <c r="G289" s="2" t="s">
        <v>1143</v>
      </c>
      <c r="H289" s="2" t="s">
        <v>1144</v>
      </c>
      <c r="I289" s="2" t="s">
        <v>1245</v>
      </c>
      <c r="J289" s="2"/>
    </row>
    <row r="290" spans="1:10" ht="32" x14ac:dyDescent="0.2">
      <c r="A290" t="s">
        <v>1165</v>
      </c>
      <c r="B290" s="2" t="s">
        <v>1080</v>
      </c>
      <c r="C290" s="2" t="s">
        <v>1139</v>
      </c>
      <c r="D290" s="2" t="s">
        <v>1166</v>
      </c>
      <c r="E290" s="2" t="s">
        <v>1167</v>
      </c>
      <c r="F290" s="2" t="s">
        <v>1142</v>
      </c>
      <c r="G290" s="2" t="s">
        <v>1143</v>
      </c>
      <c r="H290" s="2" t="s">
        <v>1144</v>
      </c>
      <c r="I290" s="2" t="s">
        <v>1245</v>
      </c>
      <c r="J290" s="2"/>
    </row>
    <row r="291" spans="1:10" ht="32" x14ac:dyDescent="0.2">
      <c r="A291" t="s">
        <v>1168</v>
      </c>
      <c r="B291" s="2" t="s">
        <v>1080</v>
      </c>
      <c r="C291" s="2" t="s">
        <v>1139</v>
      </c>
      <c r="D291" s="2" t="s">
        <v>1169</v>
      </c>
      <c r="E291" s="2" t="s">
        <v>1170</v>
      </c>
      <c r="F291" s="2" t="s">
        <v>1142</v>
      </c>
      <c r="G291" s="2" t="s">
        <v>1143</v>
      </c>
      <c r="H291" s="2" t="s">
        <v>1144</v>
      </c>
      <c r="I291" s="2" t="s">
        <v>1245</v>
      </c>
      <c r="J291" s="2"/>
    </row>
    <row r="292" spans="1:10" ht="32" x14ac:dyDescent="0.2">
      <c r="A292" t="s">
        <v>1171</v>
      </c>
      <c r="B292" s="2" t="s">
        <v>1080</v>
      </c>
      <c r="C292" s="2" t="s">
        <v>1139</v>
      </c>
      <c r="D292" s="2" t="s">
        <v>1172</v>
      </c>
      <c r="E292" s="2" t="s">
        <v>1173</v>
      </c>
      <c r="F292" s="2" t="s">
        <v>1142</v>
      </c>
      <c r="G292" s="2" t="s">
        <v>1143</v>
      </c>
      <c r="H292" s="2" t="s">
        <v>1144</v>
      </c>
      <c r="I292" s="2" t="s">
        <v>1245</v>
      </c>
      <c r="J292" s="2"/>
    </row>
    <row r="293" spans="1:10" ht="32" x14ac:dyDescent="0.2">
      <c r="A293" t="s">
        <v>1174</v>
      </c>
      <c r="B293" s="2" t="s">
        <v>1080</v>
      </c>
      <c r="C293" s="2" t="s">
        <v>1139</v>
      </c>
      <c r="D293" s="2" t="s">
        <v>1175</v>
      </c>
      <c r="E293" s="2" t="s">
        <v>1176</v>
      </c>
      <c r="F293" s="2" t="s">
        <v>1142</v>
      </c>
      <c r="G293" s="2" t="s">
        <v>1143</v>
      </c>
      <c r="H293" s="2" t="s">
        <v>1144</v>
      </c>
      <c r="I293" s="2" t="s">
        <v>1245</v>
      </c>
      <c r="J293" s="2"/>
    </row>
    <row r="294" spans="1:10" ht="32" x14ac:dyDescent="0.2">
      <c r="A294" t="s">
        <v>1177</v>
      </c>
      <c r="B294" s="2" t="s">
        <v>1080</v>
      </c>
      <c r="C294" s="2" t="s">
        <v>1139</v>
      </c>
      <c r="D294" s="2" t="s">
        <v>1178</v>
      </c>
      <c r="E294" s="2" t="s">
        <v>1179</v>
      </c>
      <c r="F294" s="2" t="s">
        <v>1142</v>
      </c>
      <c r="G294" s="2" t="s">
        <v>1143</v>
      </c>
      <c r="H294" s="2" t="s">
        <v>1144</v>
      </c>
      <c r="I294" s="2" t="s">
        <v>1245</v>
      </c>
      <c r="J294" s="2"/>
    </row>
    <row r="295" spans="1:10" ht="32" x14ac:dyDescent="0.2">
      <c r="A295" t="s">
        <v>1180</v>
      </c>
      <c r="B295" s="2" t="s">
        <v>1080</v>
      </c>
      <c r="C295" s="2" t="s">
        <v>1181</v>
      </c>
      <c r="D295" s="2" t="s">
        <v>1182</v>
      </c>
      <c r="E295" s="2" t="s">
        <v>1183</v>
      </c>
      <c r="F295" s="2" t="s">
        <v>1184</v>
      </c>
      <c r="G295" s="2" t="s">
        <v>1185</v>
      </c>
      <c r="H295" s="2" t="s">
        <v>1186</v>
      </c>
      <c r="I295" s="2" t="s">
        <v>1245</v>
      </c>
      <c r="J295" s="2"/>
    </row>
    <row r="296" spans="1:10" ht="32" x14ac:dyDescent="0.2">
      <c r="A296" t="s">
        <v>1187</v>
      </c>
      <c r="B296" s="2" t="s">
        <v>1080</v>
      </c>
      <c r="C296" s="2" t="s">
        <v>1181</v>
      </c>
      <c r="D296" s="2" t="s">
        <v>1188</v>
      </c>
      <c r="E296" s="2" t="s">
        <v>1189</v>
      </c>
      <c r="F296" s="2" t="s">
        <v>1184</v>
      </c>
      <c r="G296" s="2" t="s">
        <v>1185</v>
      </c>
      <c r="H296" s="2" t="s">
        <v>1186</v>
      </c>
      <c r="I296" s="2" t="s">
        <v>1245</v>
      </c>
      <c r="J296" s="2"/>
    </row>
    <row r="297" spans="1:10" ht="32" x14ac:dyDescent="0.2">
      <c r="A297" t="s">
        <v>1190</v>
      </c>
      <c r="B297" s="2" t="s">
        <v>1080</v>
      </c>
      <c r="C297" s="2" t="s">
        <v>1181</v>
      </c>
      <c r="D297" s="2" t="s">
        <v>1191</v>
      </c>
      <c r="E297" s="2" t="s">
        <v>1192</v>
      </c>
      <c r="F297" s="2" t="s">
        <v>1184</v>
      </c>
      <c r="G297" s="2" t="s">
        <v>1185</v>
      </c>
      <c r="H297" s="2" t="s">
        <v>1186</v>
      </c>
      <c r="I297" s="2" t="s">
        <v>1245</v>
      </c>
      <c r="J297" s="2"/>
    </row>
    <row r="298" spans="1:10" ht="32" x14ac:dyDescent="0.2">
      <c r="A298" t="s">
        <v>1193</v>
      </c>
      <c r="B298" s="2" t="s">
        <v>1080</v>
      </c>
      <c r="C298" s="2" t="s">
        <v>1194</v>
      </c>
      <c r="D298" s="2" t="s">
        <v>1195</v>
      </c>
      <c r="E298" s="2" t="s">
        <v>1196</v>
      </c>
      <c r="F298" s="2" t="s">
        <v>1197</v>
      </c>
      <c r="G298" s="2" t="s">
        <v>1198</v>
      </c>
      <c r="H298" s="2" t="s">
        <v>1199</v>
      </c>
      <c r="I298" s="2" t="s">
        <v>1245</v>
      </c>
      <c r="J298" s="2"/>
    </row>
    <row r="299" spans="1:10" ht="32" x14ac:dyDescent="0.2">
      <c r="A299" t="s">
        <v>1200</v>
      </c>
      <c r="B299" s="2" t="s">
        <v>1080</v>
      </c>
      <c r="C299" s="2" t="s">
        <v>1194</v>
      </c>
      <c r="D299" s="2" t="s">
        <v>1201</v>
      </c>
      <c r="E299" s="2" t="s">
        <v>1202</v>
      </c>
      <c r="F299" s="2" t="s">
        <v>1197</v>
      </c>
      <c r="G299" s="2" t="s">
        <v>1198</v>
      </c>
      <c r="H299" s="2" t="s">
        <v>1199</v>
      </c>
      <c r="I299" s="2" t="s">
        <v>1245</v>
      </c>
      <c r="J299" s="2"/>
    </row>
    <row r="300" spans="1:10" ht="32" x14ac:dyDescent="0.2">
      <c r="A300" t="s">
        <v>1203</v>
      </c>
      <c r="B300" s="2" t="s">
        <v>1080</v>
      </c>
      <c r="C300" s="2" t="s">
        <v>1194</v>
      </c>
      <c r="D300" s="2" t="s">
        <v>1204</v>
      </c>
      <c r="E300" s="2" t="s">
        <v>1205</v>
      </c>
      <c r="F300" s="2" t="s">
        <v>1197</v>
      </c>
      <c r="G300" s="2" t="s">
        <v>1198</v>
      </c>
      <c r="H300" s="2" t="s">
        <v>1199</v>
      </c>
      <c r="I300" s="2" t="s">
        <v>1245</v>
      </c>
      <c r="J300" s="2"/>
    </row>
    <row r="301" spans="1:10" ht="32" x14ac:dyDescent="0.2">
      <c r="A301" t="s">
        <v>1206</v>
      </c>
      <c r="B301" s="2" t="s">
        <v>1080</v>
      </c>
      <c r="C301" s="2" t="s">
        <v>1194</v>
      </c>
      <c r="D301" s="2" t="s">
        <v>1207</v>
      </c>
      <c r="E301" s="2" t="s">
        <v>1208</v>
      </c>
      <c r="F301" s="2" t="s">
        <v>1197</v>
      </c>
      <c r="G301" s="2" t="s">
        <v>1198</v>
      </c>
      <c r="H301" s="2" t="s">
        <v>1199</v>
      </c>
      <c r="I301" s="2" t="s">
        <v>1245</v>
      </c>
      <c r="J301" s="2"/>
    </row>
    <row r="302" spans="1:10" x14ac:dyDescent="0.2">
      <c r="A302" t="s">
        <v>1209</v>
      </c>
      <c r="B302" s="2" t="s">
        <v>1080</v>
      </c>
      <c r="C302" s="2" t="s">
        <v>1210</v>
      </c>
      <c r="D302" s="2" t="s">
        <v>1211</v>
      </c>
      <c r="E302" s="2" t="s">
        <v>1212</v>
      </c>
      <c r="F302" s="2" t="s">
        <v>1213</v>
      </c>
      <c r="G302" s="2" t="s">
        <v>1214</v>
      </c>
      <c r="H302" s="2" t="s">
        <v>1215</v>
      </c>
      <c r="I302" s="2" t="s">
        <v>1245</v>
      </c>
      <c r="J302" s="2"/>
    </row>
    <row r="303" spans="1:10" ht="32" x14ac:dyDescent="0.2">
      <c r="A303" t="s">
        <v>1216</v>
      </c>
      <c r="B303" s="2" t="s">
        <v>1080</v>
      </c>
      <c r="C303" s="2" t="s">
        <v>1210</v>
      </c>
      <c r="D303" s="2" t="s">
        <v>1217</v>
      </c>
      <c r="E303" s="2" t="s">
        <v>1218</v>
      </c>
      <c r="F303" s="2" t="s">
        <v>1219</v>
      </c>
      <c r="G303" s="2" t="s">
        <v>1214</v>
      </c>
      <c r="H303" s="2" t="s">
        <v>1215</v>
      </c>
      <c r="I303" s="2" t="s">
        <v>1245</v>
      </c>
      <c r="J303" s="2"/>
    </row>
    <row r="304" spans="1:10" ht="32" x14ac:dyDescent="0.2">
      <c r="A304" t="s">
        <v>1220</v>
      </c>
      <c r="B304" s="2" t="s">
        <v>1080</v>
      </c>
      <c r="C304" s="2" t="s">
        <v>1210</v>
      </c>
      <c r="D304" s="2" t="s">
        <v>1221</v>
      </c>
      <c r="E304" s="2" t="s">
        <v>1222</v>
      </c>
      <c r="F304" s="2" t="s">
        <v>1219</v>
      </c>
      <c r="G304" s="2" t="s">
        <v>1214</v>
      </c>
      <c r="H304" s="2" t="s">
        <v>1215</v>
      </c>
      <c r="I304" s="2" t="s">
        <v>1245</v>
      </c>
      <c r="J304" s="2"/>
    </row>
    <row r="305" spans="1:10" ht="32" x14ac:dyDescent="0.2">
      <c r="A305" t="s">
        <v>1223</v>
      </c>
      <c r="B305" s="2" t="s">
        <v>1080</v>
      </c>
      <c r="C305" s="2" t="s">
        <v>1210</v>
      </c>
      <c r="D305" s="2" t="s">
        <v>1224</v>
      </c>
      <c r="E305" s="2" t="s">
        <v>1225</v>
      </c>
      <c r="F305" s="2" t="s">
        <v>1226</v>
      </c>
      <c r="G305" s="2" t="s">
        <v>1214</v>
      </c>
      <c r="H305" s="2" t="s">
        <v>1215</v>
      </c>
      <c r="I305" s="2" t="s">
        <v>1245</v>
      </c>
      <c r="J305" s="2"/>
    </row>
    <row r="306" spans="1:10" x14ac:dyDescent="0.2">
      <c r="A306" t="s">
        <v>1227</v>
      </c>
      <c r="B306" s="2" t="s">
        <v>1080</v>
      </c>
      <c r="C306" s="2" t="s">
        <v>1210</v>
      </c>
      <c r="D306" s="2" t="s">
        <v>1228</v>
      </c>
      <c r="E306" s="2" t="s">
        <v>1229</v>
      </c>
      <c r="F306" s="2" t="s">
        <v>1226</v>
      </c>
      <c r="G306" s="2" t="s">
        <v>1214</v>
      </c>
      <c r="H306" s="2" t="s">
        <v>1215</v>
      </c>
      <c r="I306" s="2" t="s">
        <v>1245</v>
      </c>
      <c r="J306" s="2"/>
    </row>
    <row r="307" spans="1:10" ht="32" x14ac:dyDescent="0.2">
      <c r="A307" t="s">
        <v>1230</v>
      </c>
      <c r="B307" s="2" t="s">
        <v>1080</v>
      </c>
      <c r="C307" s="2" t="s">
        <v>1210</v>
      </c>
      <c r="D307" s="2" t="s">
        <v>1140</v>
      </c>
      <c r="E307" s="2" t="s">
        <v>1231</v>
      </c>
      <c r="F307" s="2" t="s">
        <v>1232</v>
      </c>
      <c r="G307" s="2" t="s">
        <v>1214</v>
      </c>
      <c r="H307" s="2" t="s">
        <v>1215</v>
      </c>
      <c r="I307" s="2" t="s">
        <v>1245</v>
      </c>
      <c r="J307" s="2"/>
    </row>
    <row r="308" spans="1:10" ht="32" x14ac:dyDescent="0.2">
      <c r="A308" t="s">
        <v>1233</v>
      </c>
      <c r="B308" s="2" t="s">
        <v>1080</v>
      </c>
      <c r="C308" s="2" t="s">
        <v>1234</v>
      </c>
      <c r="D308" s="2" t="s">
        <v>1235</v>
      </c>
      <c r="E308" s="2" t="s">
        <v>1236</v>
      </c>
      <c r="F308" s="2" t="s">
        <v>1237</v>
      </c>
      <c r="G308" s="2" t="s">
        <v>1238</v>
      </c>
      <c r="H308" s="2" t="s">
        <v>1215</v>
      </c>
      <c r="I308" s="2" t="s">
        <v>1245</v>
      </c>
      <c r="J308" s="2"/>
    </row>
    <row r="309" spans="1:10" ht="32" x14ac:dyDescent="0.2">
      <c r="A309" t="s">
        <v>1239</v>
      </c>
      <c r="B309" s="2" t="s">
        <v>1080</v>
      </c>
      <c r="C309" s="2" t="s">
        <v>1234</v>
      </c>
      <c r="D309" s="2" t="s">
        <v>1240</v>
      </c>
      <c r="E309" s="2" t="s">
        <v>1241</v>
      </c>
      <c r="F309" s="2" t="s">
        <v>1237</v>
      </c>
      <c r="G309" s="2" t="s">
        <v>1238</v>
      </c>
      <c r="H309" s="2" t="s">
        <v>1215</v>
      </c>
      <c r="I309" s="2" t="s">
        <v>1245</v>
      </c>
      <c r="J309" s="2"/>
    </row>
    <row r="310" spans="1:10" ht="32" x14ac:dyDescent="0.2">
      <c r="A310" t="s">
        <v>1242</v>
      </c>
      <c r="B310" s="2" t="s">
        <v>1080</v>
      </c>
      <c r="C310" s="2" t="s">
        <v>1234</v>
      </c>
      <c r="D310" s="2" t="s">
        <v>1243</v>
      </c>
      <c r="E310" s="2" t="s">
        <v>1244</v>
      </c>
      <c r="F310" s="2" t="s">
        <v>1237</v>
      </c>
      <c r="G310" s="2" t="s">
        <v>1238</v>
      </c>
      <c r="H310" s="2" t="s">
        <v>1215</v>
      </c>
      <c r="I310" s="2" t="s">
        <v>1245</v>
      </c>
      <c r="J310" s="2"/>
    </row>
  </sheetData>
  <dataValidations count="1">
    <dataValidation type="list" allowBlank="1" showInputMessage="1" showErrorMessage="1" sqref="I3:I310" xr:uid="{00000000-0002-0000-0100-000000000000}">
      <formula1>"Attest,Amend,Reject"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Sign-off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Kenneth Lee</cp:lastModifiedBy>
  <dcterms:modified xsi:type="dcterms:W3CDTF">2026-07-14T05:55:46Z</dcterms:modified>
</cp:coreProperties>
</file>