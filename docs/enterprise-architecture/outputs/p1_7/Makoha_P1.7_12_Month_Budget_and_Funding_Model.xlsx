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f69180de7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08affd416d4762"/>
    <x:sheet xmlns:r="http://schemas.openxmlformats.org/officeDocument/2006/relationships" name="Assumptions" sheetId="2" r:id="R10d8a680194a4854"/>
    <x:sheet xmlns:r="http://schemas.openxmlformats.org/officeDocument/2006/relationships" name="Phasing" sheetId="3" r:id="R70b7f0ab5e094f23"/>
    <x:sheet xmlns:r="http://schemas.openxmlformats.org/officeDocument/2006/relationships" name="Monthly Plan" sheetId="4" r:id="R843ad090311a4c99"/>
    <x:sheet xmlns:r="http://schemas.openxmlformats.org/officeDocument/2006/relationships" name="Milestones" sheetId="5" r:id="R6873a1f7df744da1"/>
    <x:sheet xmlns:r="http://schemas.openxmlformats.org/officeDocument/2006/relationships" name="Checks" sheetId="6" r:id="R53b0eb3db2714817"/>
    <x:sheet xmlns:r="http://schemas.openxmlformats.org/officeDocument/2006/relationships" name="Sources" sheetId="7" r:id="Rf951a8abea7b41a7"/>
  </x:sheets>
</x:workbook>
</file>

<file path=xl/comments1.xml><?xml version="1.0" encoding="utf-8"?>
<x:comments xmlns:x="http://schemas.openxmlformats.org/spreadsheetml/2006/main">
  <x:authors>
    <x:author>tc={ACE16973-2A89-5E2E-2920-5D1EE00F693A}</x:author>
    <x:author>tc={770AA1D7-B599-AA76-7BFB-F503B4C708FE}</x:author>
    <x:author>tc={3F92A300-3504-D61C-61C9-20F3D4EE72D7}</x:author>
    <x:author>tc={F7BA5746-0CB3-38FE-2282-D0A761B9CE95}</x:author>
    <x:author>tc={B845A193-2A8A-CCB3-2254-A290F186EC5D}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founder input. Zero is an unverified placeholder and must not be interpreted as Makoha's actual cash balance.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founder input. Zero is an unverified placeholder and must not be interpreted as no liabilities.</x:t>
        </x:r>
      </x:text>
    </x:comment>
    <x:comment ref="C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internal planning allowance set 21 July 2026; not payroll evidence or a remuneration decision.</x:t>
        </x:r>
      </x:text>
    </x:comment>
    <x:comment ref="C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internal planning allowance for a Class III-capable QMS and regulatory programme; not a supplier quote.</x:t>
        </x:r>
      </x:text>
    </x:comment>
    <x:comment ref="C2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one governed paid evidence project within the existing P1.3 range. No production revenue is assumed.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;[Red](#,##0);-"/>
    <x:numFmt numFmtId="202" formatCode="0.0%;[Red](0.0%);-"/>
    <x:numFmt numFmtId="203" formatCode="mmm-yy"/>
    <x:numFmt numFmtId="204" formatCode="0.00"/>
  </x:numFmts>
  <x:fonts count="2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17324D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9C5700"/>
      <x:name val="Carlito"/>
    </x:font>
    <x:font>
      <x:b/>
      <x:sz val="14"/>
      <x:color rgb="FF17324D"/>
      <x:name val="Carlito"/>
    </x:font>
    <x:font>
      <x:b/>
      <x:sz val="13"/>
      <x:color rgb="FF17324D"/>
      <x:name val="Carlito"/>
    </x:font>
    <x:font>
      <x:b/>
      <x:sz val="12"/>
      <x:color rgb="FF9C5700"/>
      <x:name val="Carlito"/>
    </x:font>
    <x:font>
      <x:b/>
      <x:sz val="11"/>
      <x:color rgb="FF7F6000"/>
      <x:name val="Carlito"/>
    </x:font>
    <x:font>
      <x:b/>
      <x:sz val="16"/>
      <x:color rgb="FFFFFFFF"/>
      <x:name val="Aptos"/>
    </x:font>
    <x:font>
      <x:i/>
      <x:sz val="11"/>
      <x:color rgb="FF595959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14"/>
      <x:color rgb="FF17324D"/>
      <x:name val="Aptos"/>
    </x:font>
    <x:font>
      <x:b/>
      <x:sz val="13"/>
      <x:color rgb="FF17324D"/>
      <x:name val="Aptos"/>
    </x:font>
    <x:font>
      <x:b/>
      <x:sz val="12"/>
      <x:color rgb="FF9C5700"/>
      <x:name val="Aptos"/>
    </x:font>
    <x:font>
      <x:b/>
      <x:sz val="11"/>
      <x:color rgb="FFFFFFFF"/>
      <x:name val="Aptos"/>
    </x:font>
    <x:font>
      <x:b/>
      <x:sz val="11"/>
      <x:color rgb="FF7F6000"/>
      <x:name val="Aptos"/>
    </x:font>
    <x:font>
      <x:sz val="11"/>
      <x:color rgb="FF0000FF"/>
      <x:name val="Aptos"/>
    </x:font>
    <x:font>
      <x:b/>
      <x:sz val="11"/>
      <x:color rgb="FF9C57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2E6F6D"/>
      </x:patternFill>
    </x:fill>
    <x:fill>
      <x:patternFill patternType="solid">
        <x:fgColor rgb="FFE8F1F8"/>
      </x:patternFill>
    </x:fill>
    <x:fill>
      <x:patternFill patternType="solid">
        <x:fgColor rgb="FFDDEBEA"/>
      </x:patternFill>
    </x:fill>
    <x:fill>
      <x:patternFill patternType="solid">
        <x:fgColor rgb="FFFCE5CD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14">
    <x:border/>
    <x:border>
      <x:bottom style="thin">
        <x:color rgb="FF9FBAD0"/>
      </x:bottom>
    </x:border>
    <x:border>
      <x:top style="thin">
        <x:color rgb="FF17324D"/>
      </x:top>
      <x:bottom style="double">
        <x:color rgb="FF17324D"/>
      </x:bottom>
    </x:border>
    <x:border>
      <x:top style="thin">
        <x:color rgb="FF2E6F6D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2E6F6D"/>
      </x:left>
      <x:top style="thin">
        <x:color rgb="FF2E6F6D"/>
      </x:top>
      <x:bottom style="thin">
        <x:color rgb="FF2E6F6D"/>
      </x:bottom>
    </x:border>
    <x:border>
      <x:right style="thin">
        <x:color rgb="FF2E6F6D"/>
      </x:right>
      <x:top style="thin">
        <x:color rgb="FF2E6F6D"/>
      </x:top>
      <x:bottom style="thin">
        <x:color rgb="FF2E6F6D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2" fontId="4" fillId="3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3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203" fontId="3" fillId="5" borderId="1" xfId="0" applyNumberFormat="1" applyFont="1" applyFill="1" applyBorder="1" applyAlignment="1">
      <x:alignment wrapText="1"/>
    </x:xf>
    <x:xf numFmtId="203" fontId="3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0" fontId="5" fillId="4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3" fillId="6" borderId="3" xfId="0" applyNumberFormat="1" applyFont="1" applyFill="1" applyBorder="1"/>
    <x:xf numFmtId="200" fontId="3" fillId="6" borderId="3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200" fontId="7" fillId="9" borderId="9" xfId="0" applyNumberFormat="1" applyFont="1" applyFill="1" applyBorder="1"/>
    <x:xf numFmtId="200" fontId="7" fillId="9" borderId="10" xfId="0" applyNumberFormat="1" applyFont="1" applyFill="1" applyBorder="1"/>
    <x:xf numFmtId="200" fontId="7" fillId="9" borderId="11" xfId="0" applyNumberFormat="1" applyFont="1" applyFill="1" applyBorder="1"/>
    <x:xf numFmtId="200" fontId="7" fillId="9" borderId="9" xfId="0" applyNumberFormat="1" applyFont="1" applyFill="1" applyBorder="1" applyAlignment="1">
      <x:alignment horizontal="center"/>
    </x:xf>
    <x:xf numFmtId="200" fontId="7" fillId="9" borderId="10" xfId="0" applyNumberFormat="1" applyFont="1" applyFill="1" applyBorder="1" applyAlignment="1">
      <x:alignment horizontal="center"/>
    </x:xf>
    <x:xf numFmtId="200" fontId="7" fillId="9" borderId="1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200" fontId="8" fillId="0" borderId="9" xfId="0" applyNumberFormat="1" applyFont="1" applyFill="1" applyBorder="1"/>
    <x:xf numFmtId="200" fontId="8" fillId="0" borderId="10" xfId="0" applyNumberFormat="1" applyFont="1" applyFill="1" applyBorder="1"/>
    <x:xf numFmtId="200" fontId="8" fillId="0" borderId="11" xfId="0" applyNumberFormat="1" applyFont="1" applyFill="1" applyBorder="1"/>
    <x:xf numFmtId="200" fontId="8" fillId="0" borderId="9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horizontal="center" wrapText="1"/>
    </x:xf>
    <x:xf numFmtId="0" fontId="9" fillId="7" borderId="13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4" fillId="6" borderId="7" xfId="0" applyNumberFormat="1" applyFont="1" applyFill="1" applyBorder="1"/>
    <x:xf numFmtId="0" fontId="14" fillId="6" borderId="8" xfId="0" applyNumberFormat="1" applyFont="1" applyFill="1" applyBorder="1"/>
    <x:xf numFmtId="0" fontId="14" fillId="5" borderId="0" xfId="0" applyNumberFormat="1" applyFont="1" applyFill="1" applyBorder="1" applyAlignment="1">
      <x:alignment horizontal="center" wrapText="1"/>
    </x:xf>
    <x:xf numFmtId="200" fontId="15" fillId="9" borderId="9" xfId="0" applyNumberFormat="1" applyFont="1" applyFill="1" applyBorder="1" applyAlignment="1">
      <x:alignment horizontal="center"/>
    </x:xf>
    <x:xf numFmtId="200" fontId="15" fillId="9" borderId="10" xfId="0" applyNumberFormat="1" applyFont="1" applyFill="1" applyBorder="1" applyAlignment="1">
      <x:alignment horizontal="center"/>
    </x:xf>
    <x:xf numFmtId="200" fontId="15" fillId="9" borderId="11" xfId="0" applyNumberFormat="1" applyFont="1" applyFill="1" applyBorder="1" applyAlignment="1">
      <x:alignment horizontal="center"/>
    </x:xf>
    <x:xf numFmtId="200" fontId="16" fillId="0" borderId="9" xfId="0" applyNumberFormat="1" applyFont="1" applyFill="1" applyBorder="1" applyAlignment="1">
      <x:alignment horizontal="center"/>
    </x:xf>
    <x:xf numFmtId="200" fontId="16" fillId="0" borderId="10" xfId="0" applyNumberFormat="1" applyFont="1" applyFill="1" applyBorder="1" applyAlignment="1">
      <x:alignment horizontal="center"/>
    </x:xf>
    <x:xf numFmtId="200" fontId="16" fillId="0" borderId="11" xfId="0" applyNumberFormat="1" applyFont="1" applyFill="1" applyBorder="1" applyAlignment="1">
      <x:alignment horizontal="center"/>
    </x:xf>
    <x:xf numFmtId="0" fontId="17" fillId="7" borderId="12" xfId="0" applyNumberFormat="1" applyFont="1" applyFill="1" applyBorder="1" applyAlignment="1">
      <x:alignment horizontal="center" wrapText="1"/>
    </x:xf>
    <x:xf numFmtId="0" fontId="17" fillId="7" borderId="13" xfId="0" applyNumberFormat="1" applyFont="1" applyFill="1" applyBorder="1" applyAlignment="1">
      <x:alignment horizontal="center" wrapText="1"/>
    </x:xf>
    <x:xf numFmtId="0" fontId="18" fillId="4" borderId="0" xfId="0" applyNumberFormat="1" applyFont="1" applyFill="1" applyBorder="1" applyAlignment="1">
      <x:alignment vertical="center"/>
    </x:xf>
    <x:xf numFmtId="0" fontId="14" fillId="5" borderId="1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20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9" fillId="3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20" fillId="3" borderId="0" xfId="0" applyNumberFormat="1" applyFont="1" applyFill="1" applyBorder="1"/>
    <x:xf numFmtId="200" fontId="20" fillId="3" borderId="0" xfId="0" applyNumberFormat="1" applyFont="1" applyFill="1" applyBorder="1"/>
    <x:xf numFmtId="201" fontId="20" fillId="3" borderId="0" xfId="0" applyNumberFormat="1" applyFont="1" applyFill="1" applyBorder="1"/>
    <x:xf numFmtId="202" fontId="20" fillId="3" borderId="0" xfId="0" applyNumberFormat="1" applyFont="1" applyFill="1" applyBorder="1"/>
    <x:xf numFmtId="0" fontId="14" fillId="0" borderId="2" xfId="0" applyNumberFormat="1" applyFont="1" applyFill="1" applyBorder="1"/>
    <x:xf numFmtId="200" fontId="14" fillId="0" borderId="2" xfId="0" applyNumberFormat="1" applyFont="1" applyFill="1" applyBorder="1"/>
    <x:xf numFmtId="203" fontId="14" fillId="5" borderId="1" xfId="0" applyNumberFormat="1" applyFont="1" applyFill="1" applyBorder="1" applyAlignment="1">
      <x:alignment vertical="center" wrapText="1"/>
    </x:xf>
    <x:xf numFmtId="202" fontId="20" fillId="0" borderId="0" xfId="0" applyNumberFormat="1" applyFont="1" applyFill="1" applyBorder="1"/>
    <x:xf numFmtId="202" fontId="13" fillId="0" borderId="0" xfId="0" applyNumberFormat="1" applyFont="1" applyFill="1" applyBorder="1"/>
    <x:xf numFmtId="203" fontId="13" fillId="0" borderId="0" xfId="0" applyNumberFormat="1" applyFont="1" applyFill="1" applyBorder="1"/>
    <x:xf numFmtId="0" fontId="18" fillId="4" borderId="0" xfId="0" applyNumberFormat="1" applyFont="1" applyFill="1" applyBorder="1"/>
    <x:xf numFmtId="200" fontId="18" fillId="4" borderId="0" xfId="0" applyNumberFormat="1" applyFont="1" applyFill="1" applyBorder="1"/>
    <x:xf numFmtId="200" fontId="14" fillId="6" borderId="3" xfId="0" applyNumberFormat="1" applyFont="1" applyFill="1" applyBorder="1"/>
    <x:xf numFmtId="0" fontId="21" fillId="7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/>
    <x:xf numFmtId="0" fontId="14" fillId="7" borderId="4" xfId="0" applyNumberFormat="1" applyFont="1" applyFill="1" applyBorder="1"/>
    <x:xf numFmtId="0" fontId="14" fillId="7" borderId="5" xfId="0" applyNumberFormat="1" applyFont="1" applyFill="1" applyBorder="1"/>
    <x:xf numFmtId="0" fontId="14" fillId="7" borderId="6" xfId="0" applyNumberFormat="1" applyFont="1" applyFill="1" applyBorder="1"/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13a52f0c3466e" /><Relationship Type="http://schemas.openxmlformats.org/officeDocument/2006/relationships/theme" Target="/xl/theme/theme1.xml" Id="R2480e854293b4c68" /><Relationship Type="http://schemas.openxmlformats.org/officeDocument/2006/relationships/sharedStrings" Target="/xl/sharedStrings.xml" Id="R01126453849d4b63" /><Relationship Type="http://schemas.openxmlformats.org/officeDocument/2006/relationships/worksheet" Target="/xl/worksheets/sheet1.xml" Id="R1408affd416d4762" /><Relationship Type="http://schemas.openxmlformats.org/officeDocument/2006/relationships/worksheet" Target="/xl/worksheets/sheet2.xml" Id="R10d8a680194a4854" /><Relationship Type="http://schemas.openxmlformats.org/officeDocument/2006/relationships/worksheet" Target="/xl/worksheets/sheet3.xml" Id="R70b7f0ab5e094f23" /><Relationship Type="http://schemas.openxmlformats.org/officeDocument/2006/relationships/worksheet" Target="/xl/worksheets/sheet4.xml" Id="R843ad090311a4c99" /><Relationship Type="http://schemas.openxmlformats.org/officeDocument/2006/relationships/worksheet" Target="/xl/worksheets/sheet5.xml" Id="R6873a1f7df744da1" /><Relationship Type="http://schemas.openxmlformats.org/officeDocument/2006/relationships/worksheet" Target="/xl/worksheets/sheet6.xml" Id="R53b0eb3db2714817" /><Relationship Type="http://schemas.openxmlformats.org/officeDocument/2006/relationships/worksheet" Target="/xl/worksheets/sheet7.xml" Id="Rf951a8abea7b41a7" /><Relationship Type="http://schemas.microsoft.com/office/2017/10/relationships/person" Target="/xl/persons/person.xml" Id="Rdaa4d460a0e141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8bba3687ae40c7" /><Relationship Type="http://schemas.openxmlformats.org/officeDocument/2006/relationships/chart" Target="/xl/drawings/charts/chart2.xml" Id="R08ffd5258d5442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Closing Cash Before New Funding (AUD)</a:t>
            </a:r>
          </a:p>
        </c:rich>
      </c:tx>
    </c:title>
    <c:plotArea>
      <c:lineChart>
        <c:grouping val="standard"/>
        <c:ser>
          <c:idx val="0"/>
          <c:order val="0"/>
          <c:tx>
            <c:v>Closing cash before new funding</c:v>
          </c:tx>
          <c:marker>
            <c:symbol val="none"/>
          </c:marker>
          <c:cat>
            <c:strRef>
              <c:f>'Summary'!$A$19:$A$30</c:f>
              <c:strCache>
                <c:ptCount val="0"/>
              </c:strCache>
            </c:strRef>
          </c:cat>
          <c:val>
            <c:numRef>
              <c:f>'Summary'!$B$19:$B$30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($#,##0)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Indicative Financing by Scenario (AUD)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Indicative financing</c:v>
          </c:tx>
          <c:cat>
            <c:strRef>
              <c:f>'Summary'!$J$14:$J$16</c:f>
              <c:strCache>
                <c:ptCount val="0"/>
              </c:strCache>
            </c:strRef>
          </c:cat>
          <c:val>
            <c:numRef>
              <c:f>'Summary'!$K$14:$K$16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8bba3687ae40c7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ffd5258d5442c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r Ken Lee" id="{4D378479-932D-4F1C-ACA0-0643245FDE5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21T00:31:45.717" personId="{4D378479-932D-4F1C-ACA0-0643245FDE52}" id="{ACE16973-2A89-5E2E-2920-5D1EE00F693A}">
    <xltc:text>Required founder input. Zero is an unverified placeholder and must not be interpreted as Makoha's actual cash balance.</xltc:text>
  </xltc:threadedComment>
  <xltc:threadedComment ref="B7" dT="2026-07-21T00:31:45.725" personId="{4D378479-932D-4F1C-ACA0-0643245FDE52}" id="{770AA1D7-B599-AA76-7BFB-F503B4C708FE}">
    <xltc:text>Required founder input. Zero is an unverified placeholder and must not be interpreted as no liabilities.</xltc:text>
  </xltc:threadedComment>
  <xltc:threadedComment ref="C15" dT="2026-07-21T00:31:45.725" personId="{4D378479-932D-4F1C-ACA0-0643245FDE52}" id="{3F92A300-3504-D61C-61C9-20F3D4EE72D7}">
    <xltc:text>Assumption: internal planning allowance set 21 July 2026; not payroll evidence or a remuneration decision.</xltc:text>
  </xltc:threadedComment>
  <xltc:threadedComment ref="C17" dT="2026-07-21T00:31:45.726" personId="{4D378479-932D-4F1C-ACA0-0643245FDE52}" id="{F7BA5746-0CB3-38FE-2282-D0A761B9CE95}">
    <xltc:text>Assumption: internal planning allowance for a Class III-capable QMS and regulatory programme; not a supplier quote.</xltc:text>
  </xltc:threadedComment>
  <xltc:threadedComment ref="C29" dT="2026-07-21T00:31:45.726" personId="{4D378479-932D-4F1C-ACA0-0643245FDE52}" id="{B845A193-2A8A-CCB3-2254-A290F186EC5D}">
    <xltc:text>Assumption: one governed paid evidence project within the existing P1.3 range. No production revenue is assumed.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c744c3aee74f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8918c1b660a4529" /><Relationship Type="http://schemas.openxmlformats.org/officeDocument/2006/relationships/vmlDrawing" Target="/xl/drawings/vmldrawing.vml" Id="R77efa04b9fda494e" /><Relationship Type="http://schemas.microsoft.com/office/2017/10/relationships/threadedComment" Target="/xl/threadedcomments/threadedcomment.xml" Id="R6570e13bda0b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15" hidden="0" customWidth="1"/>
    <x:col min="8" max="8" width="15" hidden="0" customWidth="1"/>
    <x:col min="10" max="10" width="22" hidden="0" customWidth="1"/>
    <x:col min="11" max="11" width="22" hidden="0" customWidth="1"/>
  </x:cols>
  <x:sheetData>
    <x:row r="1" ht="30" customHeight="1">
      <x:c r="A1" s="88" t="str">
        <x:v>Makoha P1.7 — 12-Month Budget and Funding Summary</x:v>
      </x:c>
      <x:c r="B1" s="88" t="str">
        <x:v>Makoha P1.7 — 12-Month Budget and Funding Summary</x:v>
      </x:c>
      <x:c r="C1" s="88" t="str">
        <x:v>Makoha P1.7 — 12-Month Budget and Funding Summary</x:v>
      </x:c>
      <x:c r="D1" s="88" t="str">
        <x:v>Makoha P1.7 — 12-Month Budget and Funding Summary</x:v>
      </x:c>
      <x:c r="E1" s="88" t="str">
        <x:v>Makoha P1.7 — 12-Month Budget and Funding Summary</x:v>
      </x:c>
      <x:c r="F1" s="88" t="str">
        <x:v>Makoha P1.7 — 12-Month Budget and Funding Summary</x:v>
      </x:c>
      <x:c r="G1" s="88" t="str">
        <x:v>Makoha P1.7 — 12-Month Budget and Funding Summary</x:v>
      </x:c>
      <x:c r="H1" s="88" t="str">
        <x:v>Makoha P1.7 — 12-Month Budget and Funding Summary</x:v>
      </x:c>
      <x:c r="I1" s="88" t="str">
        <x:v>Makoha P1.7 — 12-Month Budget and Funding Summary</x:v>
      </x:c>
      <x:c r="J1" s="88" t="str">
        <x:v>Makoha P1.7 — 12-Month Budget and Funding Summary</x:v>
      </x:c>
      <x:c r="K1" s="88" t="str">
        <x:v>Makoha P1.7 — 12-Month Budget and Funding Summary</x:v>
      </x:c>
      <x:c r="L1" s="88" t="str">
        <x:v>Makoha P1.7 — 12-Month Budget and Funding Summary</x:v>
      </x:c>
      <x:c r="M1" s="88" t="str">
        <x:v>Makoha P1.7 — 12-Month Budget and Funding Summary</x:v>
      </x:c>
      <x:c r="N1" s="88" t="str">
        <x:v>Makoha P1.7 — 12-Month Budget and Funding Summary</x:v>
      </x:c>
      <x:c r="O1" s="88" t="str">
        <x:v>Makoha P1.7 — 12-Month Budget and Funding Summary</x:v>
      </x:c>
      <x:c r="P1" s="88" t="str">
        <x:v>Makoha P1.7 — 12-Month Budget and Funding Summary</x:v>
      </x:c>
      <x:c r="Q1" s="88" t="str">
        <x:v>Makoha P1.7 — 12-Month Budget and Funding Summary</x:v>
      </x:c>
      <x:c r="R1" s="88" t="str">
        <x:v>Makoha P1.7 — 12-Month Budget and Funding Summary</x:v>
      </x:c>
      <x:c r="S1" s="88" t="str">
        <x:v>Makoha P1.7 — 12-Month Budget and Funding Summary</x:v>
      </x:c>
      <x:c r="T1" s="88" t="str">
        <x:v>Makoha P1.7 — 12-Month Budget and Funding Summary</x:v>
      </x:c>
    </x:row>
    <x:row r="2">
      <x:c r="A2" s="89" t="str">
        <x:v>Version 1.0 · 21 July 2026 · AUD ex GST · Scenario plan only · Opening cash, liabilities and founder capacity are unverified</x:v>
      </x:c>
      <x:c r="B2" s="89" t="str">
        <x:v>Version 1.0 · 21 July 2026 · AUD ex GST · Scenario plan only · Opening cash, liabilities and founder capacity are unverified</x:v>
      </x:c>
      <x:c r="C2" s="89" t="str">
        <x:v>Version 1.0 · 21 July 2026 · AUD ex GST · Scenario plan only · Opening cash, liabilities and founder capacity are unverified</x:v>
      </x:c>
      <x:c r="D2" s="89" t="str">
        <x:v>Version 1.0 · 21 July 2026 · AUD ex GST · Scenario plan only · Opening cash, liabilities and founder capacity are unverified</x:v>
      </x:c>
      <x:c r="E2" s="89" t="str">
        <x:v>Version 1.0 · 21 July 2026 · AUD ex GST · Scenario plan only · Opening cash, liabilities and founder capacity are unverified</x:v>
      </x:c>
      <x:c r="F2" s="89" t="str">
        <x:v>Version 1.0 · 21 July 2026 · AUD ex GST · Scenario plan only · Opening cash, liabilities and founder capacity are unverified</x:v>
      </x:c>
      <x:c r="G2" s="89" t="str">
        <x:v>Version 1.0 · 21 July 2026 · AUD ex GST · Scenario plan only · Opening cash, liabilities and founder capacity are unverified</x:v>
      </x:c>
      <x:c r="H2" s="89" t="str">
        <x:v>Version 1.0 · 21 July 2026 · AUD ex GST · Scenario plan only · Opening cash, liabilities and founder capacity are unverified</x:v>
      </x:c>
      <x:c r="I2" s="89" t="str">
        <x:v>Version 1.0 · 21 July 2026 · AUD ex GST · Scenario plan only · Opening cash, liabilities and founder capacity are unverified</x:v>
      </x:c>
      <x:c r="J2" s="89" t="str">
        <x:v>Version 1.0 · 21 July 2026 · AUD ex GST · Scenario plan only · Opening cash, liabilities and founder capacity are unverified</x:v>
      </x:c>
      <x:c r="K2" s="89" t="str">
        <x:v>Version 1.0 · 21 July 2026 · AUD ex GST · Scenario plan only · Opening cash, liabilities and founder capacity are unverified</x:v>
      </x:c>
      <x:c r="L2" s="89" t="str">
        <x:v>Version 1.0 · 21 July 2026 · AUD ex GST · Scenario plan only · Opening cash, liabilities and founder capacity are unverified</x:v>
      </x:c>
      <x:c r="M2" s="89" t="str">
        <x:v>Version 1.0 · 21 July 2026 · AUD ex GST · Scenario plan only · Opening cash, liabilities and founder capacity are unverified</x:v>
      </x:c>
      <x:c r="N2" s="89" t="str">
        <x:v>Version 1.0 · 21 July 2026 · AUD ex GST · Scenario plan only · Opening cash, liabilities and founder capacity are unverified</x:v>
      </x:c>
      <x:c r="O2" s="89" t="str">
        <x:v>Version 1.0 · 21 July 2026 · AUD ex GST · Scenario plan only · Opening cash, liabilities and founder capacity are unverified</x:v>
      </x:c>
      <x:c r="P2" s="89" t="str">
        <x:v>Version 1.0 · 21 July 2026 · AUD ex GST · Scenario plan only · Opening cash, liabilities and founder capacity are unverified</x:v>
      </x:c>
      <x:c r="Q2" s="89" t="str">
        <x:v>Version 1.0 · 21 July 2026 · AUD ex GST · Scenario plan only · Opening cash, liabilities and founder capacity are unverified</x:v>
      </x:c>
      <x:c r="R2" s="89" t="str">
        <x:v>Version 1.0 · 21 July 2026 · AUD ex GST · Scenario plan only · Opening cash, liabilities and founder capacity are unverified</x:v>
      </x:c>
      <x:c r="S2" s="89" t="str">
        <x:v>Version 1.0 · 21 July 2026 · AUD ex GST · Scenario plan only · Opening cash, liabilities and founder capacity are unverified</x:v>
      </x:c>
      <x:c r="T2" s="89" t="str">
        <x:v>Version 1.0 · 21 July 2026 · AUD ex GST · Scenario plan only · Opening cash, liabilities and founder capacity are unverified</x:v>
      </x:c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</x:row>
    <x:row r="4">
      <x:c r="A4" s="91" t="str">
        <x:v>Selected scenario</x:v>
      </x:c>
      <x:c r="B4" s="92" t="str">
        <x:f>'Assumptions'!B5</x:f>
        <x:v>Base enterprise evidence</x:v>
      </x:c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</x:row>
    <x:row r="5">
      <x:c r="A5" s="90"/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  <x:c r="S5" s="90"/>
      <x:c r="T5" s="90"/>
    </x:row>
    <x:row r="6">
      <x:c r="A6" s="93" t="str">
        <x:v>Opening cash</x:v>
      </x:c>
      <x:c r="B6" s="93"/>
      <x:c r="C6" s="93" t="str">
        <x:v>Gross 12-mo spend</x:v>
      </x:c>
      <x:c r="D6" s="93"/>
      <x:c r="E6" s="93" t="str">
        <x:v>Potential evidence revenue</x:v>
      </x:c>
      <x:c r="F6" s="93"/>
      <x:c r="G6" s="93" t="str">
        <x:v>Indicative financing requirement</x:v>
      </x:c>
      <x:c r="H6" s="93"/>
      <x:c r="I6" s="90"/>
      <x:c r="J6" s="90"/>
      <x:c r="K6" s="90"/>
      <x:c r="L6" s="90"/>
      <x:c r="M6" s="90"/>
      <x:c r="N6" s="90"/>
      <x:c r="O6" s="90"/>
      <x:c r="P6" s="90"/>
      <x:c r="Q6" s="90"/>
      <x:c r="R6" s="90"/>
      <x:c r="S6" s="90"/>
      <x:c r="T6" s="90"/>
    </x:row>
    <x:row r="7">
      <x:c r="A7" s="94" t="n">
        <x:f>'Assumptions'!B6</x:f>
        <x:v>0</x:v>
      </x:c>
      <x:c r="B7" s="95"/>
      <x:c r="C7" s="95" t="n">
        <x:f>'Monthly Plan'!N24</x:f>
        <x:v>1271200</x:v>
      </x:c>
      <x:c r="D7" s="95"/>
      <x:c r="E7" s="95" t="n">
        <x:f>'Monthly Plan'!N6</x:f>
        <x:v>50000</x:v>
      </x:c>
      <x:c r="F7" s="95"/>
      <x:c r="G7" s="95" t="n">
        <x:f>MAX(0,CHOOSE('Assumptions'!B4,'Assumptions'!B32,'Assumptions'!C32,'Assumptions'!D32)+'Assumptions'!B7-'Assumptions'!B6-SUM('Assumptions'!B37:M37))</x:f>
        <x:v>1475440</x:v>
      </x:c>
      <x:c r="H7" s="96"/>
      <x:c r="I7" s="90"/>
      <x:c r="J7" s="90"/>
      <x:c r="K7" s="90"/>
      <x:c r="L7" s="90"/>
      <x:c r="M7" s="90"/>
      <x:c r="N7" s="90"/>
      <x:c r="O7" s="90"/>
      <x:c r="P7" s="90"/>
      <x:c r="Q7" s="90"/>
      <x:c r="R7" s="90"/>
      <x:c r="S7" s="90"/>
      <x:c r="T7" s="90"/>
    </x:row>
    <x:row r="8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M8" s="90"/>
      <x:c r="N8" s="90"/>
      <x:c r="O8" s="90"/>
      <x:c r="P8" s="90"/>
      <x:c r="Q8" s="90"/>
      <x:c r="R8" s="90"/>
      <x:c r="S8" s="90"/>
      <x:c r="T8" s="90"/>
    </x:row>
    <x:row r="9">
      <x:c r="A9" s="93" t="str">
        <x:v>Average monthly spend</x:v>
      </x:c>
      <x:c r="B9" s="93"/>
      <x:c r="C9" s="93" t="str">
        <x:v>Peak monthly spend</x:v>
      </x:c>
      <x:c r="D9" s="93"/>
      <x:c r="E9" s="93" t="str">
        <x:v>Minimum reserve</x:v>
      </x:c>
      <x:c r="F9" s="93"/>
      <x:c r="G9" s="93" t="str">
        <x:v>Model status</x:v>
      </x:c>
      <x:c r="H9" s="93"/>
      <x:c r="I9" s="90"/>
      <x:c r="J9" s="90"/>
      <x:c r="K9" s="90"/>
      <x:c r="L9" s="90"/>
      <x:c r="M9" s="90"/>
      <x:c r="N9" s="90"/>
      <x:c r="O9" s="90"/>
      <x:c r="P9" s="90"/>
      <x:c r="Q9" s="90"/>
      <x:c r="R9" s="90"/>
      <x:c r="S9" s="90"/>
      <x:c r="T9" s="90"/>
    </x:row>
    <x:row r="10">
      <x:c r="A10" s="97" t="n">
        <x:f>AVERAGE('Monthly Plan'!B24:M24)</x:f>
        <x:v>105933.33333333333</x:v>
      </x:c>
      <x:c r="B10" s="98"/>
      <x:c r="C10" s="98" t="n">
        <x:f>MAX('Monthly Plan'!B24:M24)</x:f>
        <x:v>117936</x:v>
      </x:c>
      <x:c r="D10" s="98"/>
      <x:c r="E10" s="98" t="n">
        <x:f>CHOOSE('Assumptions'!B4,'Assumptions'!B31,'Assumptions'!C31,'Assumptions'!D31)</x:f>
        <x:v>254240</x:v>
      </x:c>
      <x:c r="F10" s="99"/>
      <x:c r="G10" s="100" t="str">
        <x:f>'Checks'!B15</x:f>
        <x:v>PROVISIONAL — VERIFY INPUTS</x:v>
      </x:c>
      <x:c r="H10" s="101"/>
      <x:c r="I10" s="90"/>
      <x:c r="J10" s="90"/>
      <x:c r="K10" s="90"/>
      <x:c r="L10" s="90"/>
      <x:c r="M10" s="90"/>
      <x:c r="N10" s="90"/>
      <x:c r="O10" s="90"/>
      <x:c r="P10" s="90"/>
      <x:c r="Q10" s="90"/>
      <x:c r="R10" s="90"/>
      <x:c r="S10" s="90"/>
      <x:c r="T10" s="90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  <x:c r="O11" s="90"/>
      <x:c r="P11" s="90"/>
      <x:c r="Q11" s="90"/>
      <x:c r="R11" s="90"/>
      <x:c r="S11" s="90"/>
      <x:c r="T11" s="90"/>
    </x:row>
    <x:row r="12" ht="22" customHeight="1">
      <x:c r="A12" s="102" t="str">
        <x:v>Scenario comparison</x:v>
      </x:c>
      <x:c r="B12" s="102" t="str">
        <x:v>Scenario comparison</x:v>
      </x:c>
      <x:c r="C12" s="102" t="str">
        <x:v>Scenario comparison</x:v>
      </x:c>
      <x:c r="D12" s="102" t="str">
        <x:v>Scenario comparison</x:v>
      </x:c>
      <x:c r="E12" s="102" t="str">
        <x:v>Scenario comparison</x:v>
      </x:c>
      <x:c r="F12" s="102" t="str">
        <x:v>Scenario comparison</x:v>
      </x:c>
      <x:c r="G12" s="102" t="str">
        <x:v>Scenario comparison</x:v>
      </x:c>
      <x:c r="H12" s="102" t="str">
        <x:v>Scenario comparison</x:v>
      </x:c>
      <x:c r="I12" s="90"/>
      <x:c r="J12" s="90"/>
      <x:c r="K12" s="90"/>
      <x:c r="L12" s="90"/>
      <x:c r="M12" s="90"/>
      <x:c r="N12" s="90"/>
      <x:c r="O12" s="90"/>
      <x:c r="P12" s="90"/>
      <x:c r="Q12" s="90"/>
      <x:c r="R12" s="90"/>
      <x:c r="S12" s="90"/>
      <x:c r="T12" s="90"/>
    </x:row>
    <x:row r="13">
      <x:c r="A13" s="103" t="str">
        <x:v>Scenario</x:v>
      </x:c>
      <x:c r="B13" s="103" t="str">
        <x:v>Gross spend</x:v>
      </x:c>
      <x:c r="C13" s="103" t="str">
        <x:v>Evidence revenue</x:v>
      </x:c>
      <x:c r="D13" s="103" t="str">
        <x:v>Reserve</x:v>
      </x:c>
      <x:c r="E13" s="103" t="str">
        <x:v>Indicative funding before cash</x:v>
      </x:c>
      <x:c r="F13" s="103" t="str">
        <x:v>Safe 12-month outcome</x:v>
      </x:c>
      <x:c r="G13" s="90"/>
      <x:c r="H13" s="90"/>
      <x:c r="I13" s="90"/>
      <x:c r="J13" s="90" t="str">
        <x:v>Scenario</x:v>
      </x:c>
      <x:c r="K13" s="90" t="str">
        <x:v>Indicative financing</x:v>
      </x:c>
      <x:c r="L13" s="90"/>
      <x:c r="M13" s="90"/>
      <x:c r="N13" s="90"/>
      <x:c r="O13" s="90"/>
      <x:c r="P13" s="90"/>
      <x:c r="Q13" s="90"/>
      <x:c r="R13" s="90"/>
      <x:c r="S13" s="90"/>
      <x:c r="T13" s="90"/>
    </x:row>
    <x:row r="14">
      <x:c r="A14" s="90" t="str">
        <x:v>Capital-constrained</x:v>
      </x:c>
      <x:c r="B14" s="104" t="n">
        <x:f>'Assumptions'!B28</x:f>
        <x:v>489500</x:v>
      </x:c>
      <x:c r="C14" s="104" t="n">
        <x:f>'Assumptions'!B29</x:f>
        <x:v>30000</x:v>
      </x:c>
      <x:c r="D14" s="104" t="n">
        <x:f>'Assumptions'!B31</x:f>
        <x:v>73425</x:v>
      </x:c>
      <x:c r="E14" s="104" t="n">
        <x:f>'Assumptions'!B32+'Assumptions'!$B$7-'Assumptions'!$B$6</x:f>
        <x:v>532925</x:v>
      </x:c>
      <x:c r="F14" s="105" t="str">
        <x:v>Counsel, QMS foundation, synthetic assurance and partner discovery; no live clinical evidence assumption</x:v>
      </x:c>
      <x:c r="G14" s="90"/>
      <x:c r="H14" s="90"/>
      <x:c r="I14" s="90"/>
      <x:c r="J14" s="90" t="str">
        <x:v>Capital-constrained</x:v>
      </x:c>
      <x:c r="K14" s="104" t="n">
        <x:f>E14</x:f>
        <x:v>532925</x:v>
      </x:c>
      <x:c r="L14" s="90"/>
      <x:c r="M14" s="90"/>
      <x:c r="N14" s="90"/>
      <x:c r="O14" s="90"/>
      <x:c r="P14" s="90"/>
      <x:c r="Q14" s="90"/>
      <x:c r="R14" s="90"/>
      <x:c r="S14" s="90"/>
      <x:c r="T14" s="90"/>
    </x:row>
    <x:row r="15">
      <x:c r="A15" s="106" t="str">
        <x:v>Base enterprise evidence</x:v>
      </x:c>
      <x:c r="B15" s="107" t="n">
        <x:f>'Assumptions'!C28</x:f>
        <x:v>1271200</x:v>
      </x:c>
      <x:c r="C15" s="107" t="n">
        <x:f>'Assumptions'!C29</x:f>
        <x:v>50000</x:v>
      </x:c>
      <x:c r="D15" s="107" t="n">
        <x:f>'Assumptions'!C31</x:f>
        <x:v>254240</x:v>
      </x:c>
      <x:c r="E15" s="107" t="n">
        <x:f>'Assumptions'!C32+'Assumptions'!$B$7-'Assumptions'!$B$6</x:f>
        <x:v>1475440</x:v>
      </x:c>
      <x:c r="F15" s="108" t="str">
        <x:v>Regulatory/QMS core, authority appointments, partner discovery and governed evidence readiness; live work only if gates pass</x:v>
      </x:c>
      <x:c r="G15" s="90"/>
      <x:c r="H15" s="90"/>
      <x:c r="I15" s="90"/>
      <x:c r="J15" s="90" t="str">
        <x:v>Base enterprise evidence</x:v>
      </x:c>
      <x:c r="K15" s="104" t="n">
        <x:f>E15</x:f>
        <x:v>1475440</x:v>
      </x:c>
      <x:c r="L15" s="90"/>
      <x:c r="M15" s="90"/>
      <x:c r="N15" s="90"/>
      <x:c r="O15" s="90"/>
      <x:c r="P15" s="90"/>
      <x:c r="Q15" s="90"/>
      <x:c r="R15" s="90"/>
      <x:c r="S15" s="90"/>
      <x:c r="T15" s="90"/>
    </x:row>
    <x:row r="16">
      <x:c r="A16" s="90" t="str">
        <x:v>Accelerated regulated build</x:v>
      </x:c>
      <x:c r="B16" s="104" t="n">
        <x:f>'Assumptions'!D28</x:f>
        <x:v>2403500</x:v>
      </x:c>
      <x:c r="C16" s="104" t="n">
        <x:f>'Assumptions'!D29</x:f>
        <x:v>150000</x:v>
      </x:c>
      <x:c r="D16" s="104" t="n">
        <x:f>'Assumptions'!D31</x:f>
        <x:v>600875</x:v>
      </x:c>
      <x:c r="E16" s="104" t="n">
        <x:f>'Assumptions'!D32+'Assumptions'!$B$7-'Assumptions'!$B$6</x:f>
        <x:v>2854375</x:v>
      </x:c>
      <x:c r="F16" s="105" t="str">
        <x:v>Parallel product/QMS/authority build and larger evidence programme; still no automatic patient release</x:v>
      </x:c>
      <x:c r="G16" s="90"/>
      <x:c r="H16" s="90"/>
      <x:c r="I16" s="90"/>
      <x:c r="J16" s="90" t="str">
        <x:v>Accelerated regulated build</x:v>
      </x:c>
      <x:c r="K16" s="104" t="n">
        <x:f>E16</x:f>
        <x:v>2854375</x:v>
      </x:c>
      <x:c r="L16" s="90"/>
      <x:c r="M16" s="90"/>
      <x:c r="N16" s="90"/>
      <x:c r="O16" s="90"/>
      <x:c r="P16" s="90"/>
      <x:c r="Q16" s="90"/>
      <x:c r="R16" s="90"/>
      <x:c r="S16" s="90"/>
      <x:c r="T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  <x:c r="Q17" s="90"/>
      <x:c r="R17" s="90"/>
      <x:c r="S17" s="90"/>
      <x:c r="T17" s="90"/>
    </x:row>
    <x:row r="18">
      <x:c r="A18" s="103" t="str">
        <x:v>Month</x:v>
      </x:c>
      <x:c r="B18" s="103" t="str">
        <x:v>Closing cash before new funding</x:v>
      </x:c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  <x:c r="Q18" s="90"/>
      <x:c r="R18" s="90"/>
      <x:c r="S18" s="90"/>
      <x:c r="T18" s="90"/>
    </x:row>
    <x:row r="19">
      <x:c r="A19" s="90" t="str">
        <x:f>'Monthly Plan'!B3</x:f>
        <x:v>Aug 26</x:v>
      </x:c>
      <x:c r="B19" s="104" t="n">
        <x:f>'Monthly Plan'!B26</x:f>
        <x:v>-94360</x:v>
      </x:c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  <x:c r="Q19" s="90"/>
      <x:c r="R19" s="90"/>
      <x:c r="S19" s="90"/>
      <x:c r="T19" s="90"/>
    </x:row>
    <x:row r="20">
      <x:c r="A20" s="90" t="str">
        <x:f>'Monthly Plan'!C3</x:f>
        <x:v>Sept 26</x:v>
      </x:c>
      <x:c r="B20" s="104" t="n">
        <x:f>'Monthly Plan'!C26</x:f>
        <x:v>-193200</x:v>
      </x:c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90"/>
      <x:c r="R20" s="90"/>
      <x:c r="S20" s="90"/>
      <x:c r="T20" s="90"/>
    </x:row>
    <x:row r="21">
      <x:c r="A21" s="90" t="str">
        <x:f>'Monthly Plan'!D3</x:f>
        <x:v>Oct 26</x:v>
      </x:c>
      <x:c r="B21" s="104" t="n">
        <x:f>'Monthly Plan'!D26</x:f>
        <x:v>-305424</x:v>
      </x:c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90"/>
      <x:c r="R21" s="90"/>
      <x:c r="S21" s="90"/>
      <x:c r="T21" s="90"/>
    </x:row>
    <x:row r="22">
      <x:c r="A22" s="90" t="str">
        <x:f>'Monthly Plan'!E3</x:f>
        <x:v>Nov 26</x:v>
      </x:c>
      <x:c r="B22" s="104" t="n">
        <x:f>'Monthly Plan'!E26</x:f>
        <x:v>-416976</x:v>
      </x:c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90"/>
      <x:c r="R22" s="90"/>
      <x:c r="S22" s="90"/>
      <x:c r="T22" s="90"/>
    </x:row>
    <x:row r="23">
      <x:c r="A23" s="90" t="str">
        <x:f>'Monthly Plan'!F3</x:f>
        <x:v>Dec 26</x:v>
      </x:c>
      <x:c r="B23" s="104" t="n">
        <x:f>'Monthly Plan'!F26</x:f>
        <x:v>-526960</x:v>
      </x:c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90"/>
      <x:c r="R23" s="90"/>
      <x:c r="S23" s="90"/>
      <x:c r="T23" s="90"/>
    </x:row>
    <x:row r="24">
      <x:c r="A24" s="90" t="str">
        <x:f>'Monthly Plan'!G3</x:f>
        <x:v>Jan 27</x:v>
      </x:c>
      <x:c r="B24" s="104" t="n">
        <x:f>'Monthly Plan'!G26</x:f>
        <x:v>-643664</x:v>
      </x:c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90"/>
      <x:c r="R24" s="90"/>
      <x:c r="S24" s="90"/>
      <x:c r="T24" s="90"/>
    </x:row>
    <x:row r="25">
      <x:c r="A25" s="90" t="str">
        <x:f>'Monthly Plan'!H3</x:f>
        <x:v>Feb 27</x:v>
      </x:c>
      <x:c r="B25" s="104" t="n">
        <x:f>'Monthly Plan'!H26</x:f>
        <x:v>-756600</x:v>
      </x:c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0"/>
      <x:c r="T25" s="90"/>
    </x:row>
    <x:row r="26">
      <x:c r="A26" s="90" t="str">
        <x:f>'Monthly Plan'!I3</x:f>
        <x:v>Mar 27</x:v>
      </x:c>
      <x:c r="B26" s="104" t="n">
        <x:f>'Monthly Plan'!I26</x:f>
        <x:v>-863640</x:v>
      </x:c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/>
    </x:row>
    <x:row r="27">
      <x:c r="A27" s="90" t="str">
        <x:f>'Monthly Plan'!J3</x:f>
        <x:v>Apr 27</x:v>
      </x:c>
      <x:c r="B27" s="104" t="n">
        <x:f>'Monthly Plan'!J26</x:f>
        <x:v>-958960</x:v>
      </x:c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90"/>
      <x:c r="R27" s="90"/>
      <x:c r="S27" s="90"/>
      <x:c r="T27" s="90"/>
    </x:row>
    <x:row r="28">
      <x:c r="A28" s="90" t="str">
        <x:f>'Monthly Plan'!K3</x:f>
        <x:v>May 27</x:v>
      </x:c>
      <x:c r="B28" s="104" t="n">
        <x:f>'Monthly Plan'!K26</x:f>
        <x:v>-1046552</x:v>
      </x:c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  <x:c r="Q28" s="90"/>
      <x:c r="R28" s="90"/>
      <x:c r="S28" s="90"/>
      <x:c r="T28" s="90"/>
    </x:row>
    <x:row r="29">
      <x:c r="A29" s="90" t="str">
        <x:f>'Monthly Plan'!L3</x:f>
        <x:v>June 27</x:v>
      </x:c>
      <x:c r="B29" s="104" t="n">
        <x:f>'Monthly Plan'!L26</x:f>
        <x:v>-1134456</x:v>
      </x:c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90"/>
      <x:c r="R29" s="90"/>
      <x:c r="S29" s="90"/>
      <x:c r="T29" s="90"/>
    </x:row>
    <x:row r="30">
      <x:c r="A30" s="90" t="str">
        <x:f>'Monthly Plan'!M3</x:f>
        <x:v>July 27</x:v>
      </x:c>
      <x:c r="B30" s="104" t="n">
        <x:f>'Monthly Plan'!M26</x:f>
        <x:v>-1221200</x:v>
      </x:c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90"/>
      <x:c r="R30" s="90"/>
      <x:c r="S30" s="90"/>
      <x:c r="T30" s="90"/>
    </x:row>
    <x:row r="31">
      <x:c r="A31" s="90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90"/>
      <x:c r="R31" s="90"/>
      <x:c r="S31" s="90"/>
      <x:c r="T31" s="90"/>
    </x:row>
    <x:row r="32">
      <x:c r="A32" s="90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  <x:c r="R32" s="90"/>
      <x:c r="S32" s="90"/>
      <x:c r="T32" s="90"/>
    </x:row>
    <x:row r="33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90"/>
      <x:c r="R33" s="90"/>
      <x:c r="S33" s="90"/>
      <x:c r="T33" s="90"/>
    </x:row>
    <x:row r="34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  <x:c r="R34" s="90"/>
      <x:c r="S34" s="90"/>
      <x:c r="T34" s="90"/>
    </x:row>
    <x:row r="35">
      <x:c r="A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B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C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D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E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F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G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H35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I35" s="90"/>
      <x:c r="J35" s="90"/>
      <x:c r="K35" s="90"/>
      <x:c r="L35" s="90"/>
      <x:c r="M35" s="90"/>
      <x:c r="N35" s="90"/>
      <x:c r="O35" s="90"/>
      <x:c r="P35" s="90"/>
      <x:c r="Q35" s="90"/>
      <x:c r="R35" s="90"/>
      <x:c r="S35" s="90"/>
      <x:c r="T35" s="90"/>
    </x:row>
    <x:row r="36">
      <x:c r="A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B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C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D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E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F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G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H36" s="109" t="str">
        <x:v>Decision rule: use the Base enterprise evidence scenario for planning, but do not approve a raise amount or claim runway until opening cash, liabilities and founder capacity are verified. Live clinical evidence remains conditional on regulatory, authority, privacy, security and release gates.</x:v>
      </x:c>
      <x:c r="I36" s="90"/>
      <x:c r="J36" s="90"/>
      <x:c r="K36" s="90"/>
      <x:c r="L36" s="90"/>
      <x:c r="M36" s="90"/>
      <x:c r="N36" s="90"/>
      <x:c r="O36" s="90"/>
      <x:c r="P36" s="90"/>
      <x:c r="Q36" s="90"/>
      <x:c r="R36" s="90"/>
      <x:c r="S36" s="90"/>
      <x:c r="T36" s="90"/>
    </x:row>
  </x:sheetData>
  <x:mergeCells>
    <x:mergeCell ref="A1:T1"/>
    <x:mergeCell ref="A2:T2"/>
    <x:mergeCell ref="A7:B7"/>
    <x:mergeCell ref="C7:D7"/>
    <x:mergeCell ref="E7:F7"/>
    <x:mergeCell ref="G7:H7"/>
    <x:mergeCell ref="A10:B10"/>
    <x:mergeCell ref="C10:D10"/>
    <x:mergeCell ref="E10:F10"/>
    <x:mergeCell ref="G10:H10"/>
    <x:mergeCell ref="A12:H12"/>
    <x:mergeCell ref="A35:H36"/>
  </x:mergeCells>
  <x:pageMargins left="0.7" right="0.7" top="0.75" bottom="0.75" header="0.3" footer="0.3"/>
  <x:drawing xmlns:r="http://schemas.openxmlformats.org/officeDocument/2006/relationships" r:id="R4cc744c3aee74fa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20" hidden="0" customWidth="1"/>
    <x:col min="5" max="5" width="48" hidden="0" customWidth="1"/>
  </x:cols>
  <x:sheetData>
    <x:row r="1" ht="30" customHeight="1">
      <x:c r="A1" s="88" t="str">
        <x:v>Makoha P1.7 — Planning Assumptions</x:v>
      </x:c>
      <x:c r="B1" s="88" t="str">
        <x:v>Makoha P1.7 — Planning Assumptions</x:v>
      </x:c>
      <x:c r="C1" s="88" t="str">
        <x:v>Makoha P1.7 — Planning Assumptions</x:v>
      </x:c>
      <x:c r="D1" s="88" t="str">
        <x:v>Makoha P1.7 — Planning Assumptions</x:v>
      </x:c>
      <x:c r="E1" s="88" t="str">
        <x:v>Makoha P1.7 — Planning Assumptions</x:v>
      </x:c>
      <x:c r="F1" s="90"/>
      <x:c r="G1" s="90"/>
      <x:c r="H1" s="90"/>
      <x:c r="I1" s="90"/>
      <x:c r="J1" s="90"/>
      <x:c r="K1" s="90"/>
      <x:c r="L1" s="90"/>
      <x:c r="M1" s="90"/>
    </x:row>
    <x:row r="2">
      <x:c r="A2" s="110" t="str">
        <x:v>Blue/yellow cells are editable assumptions. All monetary values are AUD, ex GST. Figures are planning hypotheses—not actuals, quotes or commitments.</x:v>
      </x:c>
      <x:c r="B2" s="110" t="str">
        <x:v>Blue/yellow cells are editable assumptions. All monetary values are AUD, ex GST. Figures are planning hypotheses—not actuals, quotes or commitments.</x:v>
      </x:c>
      <x:c r="C2" s="110" t="str">
        <x:v>Blue/yellow cells are editable assumptions. All monetary values are AUD, ex GST. Figures are planning hypotheses—not actuals, quotes or commitments.</x:v>
      </x:c>
      <x:c r="D2" s="110" t="str">
        <x:v>Blue/yellow cells are editable assumptions. All monetary values are AUD, ex GST. Figures are planning hypotheses—not actuals, quotes or commitments.</x:v>
      </x:c>
      <x:c r="E2" s="110" t="str">
        <x:v>Blue/yellow cells are editable assumptions. All monetary values are AUD, ex GST. Figures are planning hypotheses—not actuals, quotes or commitments.</x:v>
      </x:c>
      <x:c r="F2" s="90"/>
      <x:c r="G2" s="90"/>
      <x:c r="H2" s="90"/>
      <x:c r="I2" s="90"/>
      <x:c r="J2" s="90"/>
      <x:c r="K2" s="90"/>
      <x:c r="L2" s="90"/>
      <x:c r="M2" s="90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</x:row>
    <x:row r="4">
      <x:c r="A4" s="111" t="str">
        <x:v>Selected scenario index (1–3)</x:v>
      </x:c>
      <x:c r="B4" s="112" t="n">
        <x:v>2</x:v>
      </x:c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</x:row>
    <x:row r="5">
      <x:c r="A5" s="111" t="str">
        <x:v>Selected scenario</x:v>
      </x:c>
      <x:c r="B5" s="112" t="str">
        <x:f>CHOOSE(B4,"Capital-constrained","Base enterprise evidence","Accelerated regulated build")</x:f>
        <x:v>Base enterprise evidence</x:v>
      </x:c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</x:row>
    <x:row r="6">
      <x:c r="A6" s="111" t="str">
        <x:v>Verified opening cash</x:v>
      </x:c>
      <x:c r="B6" s="113" t="n">
        <x:v>0</x:v>
      </x:c>
      <x:c r="C6" s="90"/>
      <x:c r="D6" s="90"/>
      <x:c r="E6" s="90"/>
      <x:c r="F6" s="90"/>
      <x:c r="G6" s="90"/>
      <x:c r="H6" s="90"/>
      <x:c r="I6" s="90"/>
      <x:c r="J6" s="90"/>
      <x:c r="K6" s="90"/>
      <x:c r="L6" s="90"/>
      <x:c r="M6" s="90"/>
    </x:row>
    <x:row r="7">
      <x:c r="A7" s="111" t="str">
        <x:v>Verified existing liabilities/commitments</x:v>
      </x:c>
      <x:c r="B7" s="113" t="n">
        <x:v>0</x:v>
      </x:c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</x:row>
    <x:row r="8">
      <x:c r="A8" s="111" t="str">
        <x:v>Founder available hours/week</x:v>
      </x:c>
      <x:c r="B8" s="114" t="n">
        <x:v>0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M8" s="90"/>
    </x:row>
    <x:row r="9">
      <x:c r="A9" s="111" t="str">
        <x:v>Opening cash verified?</x:v>
      </x:c>
      <x:c r="B9" s="112" t="str">
        <x:v>NO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</x:row>
    <x:row r="10">
      <x:c r="A10" s="111" t="str">
        <x:v>Liabilities verified?</x:v>
      </x:c>
      <x:c r="B10" s="112" t="str">
        <x:v>NO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</x:row>
    <x:row r="11">
      <x:c r="A11" s="111" t="str">
        <x:v>Founder capacity verified?</x:v>
      </x:c>
      <x:c r="B11" s="112" t="str">
        <x:v>NO</x:v>
      </x:c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</x:row>
    <x:row r="12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</x:row>
    <x:row r="13" ht="22" customHeight="1">
      <x:c r="A13" s="102" t="str">
        <x:v>Scenario annual costs and revenue assumptions</x:v>
      </x:c>
      <x:c r="B13" s="102" t="str">
        <x:v>Scenario annual costs and revenue assumptions</x:v>
      </x:c>
      <x:c r="C13" s="102" t="str">
        <x:v>Scenario annual costs and revenue assumptions</x:v>
      </x:c>
      <x:c r="D13" s="102" t="str">
        <x:v>Scenario annual costs and revenue assumptions</x:v>
      </x:c>
      <x:c r="E13" s="102" t="str">
        <x:v>Scenario annual costs and revenue assumptions</x:v>
      </x:c>
      <x:c r="F13" s="90"/>
      <x:c r="G13" s="90"/>
      <x:c r="H13" s="90"/>
      <x:c r="I13" s="90"/>
      <x:c r="J13" s="90"/>
      <x:c r="K13" s="90"/>
      <x:c r="L13" s="90"/>
      <x:c r="M13" s="90"/>
    </x:row>
    <x:row r="14">
      <x:c r="A14" s="103" t="str">
        <x:v>Category</x:v>
      </x:c>
      <x:c r="B14" s="103" t="str">
        <x:v>Capital-constrained</x:v>
      </x:c>
      <x:c r="C14" s="103" t="str">
        <x:v>Base enterprise evidence</x:v>
      </x:c>
      <x:c r="D14" s="103" t="str">
        <x:v>Accelerated regulated build</x:v>
      </x:c>
      <x:c r="E14" s="103" t="str">
        <x:v>Planning note</x:v>
      </x:c>
      <x:c r="F14" s="90"/>
      <x:c r="G14" s="90"/>
      <x:c r="H14" s="90"/>
      <x:c r="I14" s="90"/>
      <x:c r="J14" s="90"/>
      <x:c r="K14" s="90"/>
      <x:c r="L14" s="90"/>
      <x:c r="M14" s="90"/>
    </x:row>
    <x:row r="15">
      <x:c r="A15" s="90" t="str">
        <x:v>Founder / executive capacity</x:v>
      </x:c>
      <x:c r="B15" s="113" t="n">
        <x:v>60000</x:v>
      </x:c>
      <x:c r="C15" s="113" t="n">
        <x:v>120000</x:v>
      </x:c>
      <x:c r="D15" s="113" t="n">
        <x:v>150000</x:v>
      </x:c>
      <x:c r="E15" s="105" t="str">
        <x:v>Cash compensation and on-cost allowance; founder requirement unverified</x:v>
      </x:c>
      <x:c r="F15" s="90"/>
      <x:c r="G15" s="90"/>
      <x:c r="H15" s="90"/>
      <x:c r="I15" s="90"/>
      <x:c r="J15" s="90"/>
      <x:c r="K15" s="90"/>
      <x:c r="L15" s="90"/>
      <x:c r="M15" s="90"/>
    </x:row>
    <x:row r="16">
      <x:c r="A16" s="90" t="str">
        <x:v>Engineering, product and integrations</x:v>
      </x:c>
      <x:c r="B16" s="113" t="n">
        <x:v>120000</x:v>
      </x:c>
      <x:c r="C16" s="113" t="n">
        <x:v>300000</x:v>
      </x:c>
      <x:c r="D16" s="113" t="n">
        <x:v>550000</x:v>
      </x:c>
      <x:c r="E16" s="105" t="str">
        <x:v>Contractor/employee blend; no vendor quotes</x:v>
      </x:c>
      <x:c r="F16" s="90"/>
      <x:c r="G16" s="90"/>
      <x:c r="H16" s="90"/>
      <x:c r="I16" s="90"/>
      <x:c r="J16" s="90"/>
      <x:c r="K16" s="90"/>
      <x:c r="L16" s="90"/>
      <x:c r="M16" s="90"/>
    </x:row>
    <x:row r="17">
      <x:c r="A17" s="90" t="str">
        <x:v>Quality management and regulatory</x:v>
      </x:c>
      <x:c r="B17" s="113" t="n">
        <x:v>70000</x:v>
      </x:c>
      <x:c r="C17" s="113" t="n">
        <x:v>180000</x:v>
      </x:c>
      <x:c r="D17" s="113" t="n">
        <x:v>300000</x:v>
      </x:c>
      <x:c r="E17" s="105" t="str">
        <x:v>Class III-capable QMS and qualified regulatory support</x:v>
      </x:c>
      <x:c r="F17" s="90"/>
      <x:c r="G17" s="90"/>
      <x:c r="H17" s="90"/>
      <x:c r="I17" s="90"/>
      <x:c r="J17" s="90"/>
      <x:c r="K17" s="90"/>
      <x:c r="L17" s="90"/>
      <x:c r="M17" s="90"/>
    </x:row>
    <x:row r="18">
      <x:c r="A18" s="90" t="str">
        <x:v>Clinical authority, doctor and pharmacy input</x:v>
      </x:c>
      <x:c r="B18" s="113" t="n">
        <x:v>40000</x:v>
      </x:c>
      <x:c r="C18" s="113" t="n">
        <x:v>150000</x:v>
      </x:c>
      <x:c r="D18" s="113" t="n">
        <x:v>300000</x:v>
      </x:c>
      <x:c r="E18" s="105" t="str">
        <x:v>Appointments, protocol ownership and service-model design</x:v>
      </x:c>
      <x:c r="F18" s="90"/>
      <x:c r="G18" s="90"/>
      <x:c r="H18" s="90"/>
      <x:c r="I18" s="90"/>
      <x:c r="J18" s="90"/>
      <x:c r="K18" s="90"/>
      <x:c r="L18" s="90"/>
      <x:c r="M18" s="90"/>
    </x:row>
    <x:row r="19">
      <x:c r="A19" s="90" t="str">
        <x:v>Evidence, human factors and statistics</x:v>
      </x:c>
      <x:c r="B19" s="113" t="n">
        <x:v>30000</x:v>
      </x:c>
      <x:c r="C19" s="113" t="n">
        <x:v>120000</x:v>
      </x:c>
      <x:c r="D19" s="113" t="n">
        <x:v>300000</x:v>
      </x:c>
      <x:c r="E19" s="105" t="str">
        <x:v>Synthetic evidence first; live activity remains gated</x:v>
      </x:c>
      <x:c r="F19" s="90"/>
      <x:c r="G19" s="90"/>
      <x:c r="H19" s="90"/>
      <x:c r="I19" s="90"/>
      <x:c r="J19" s="90"/>
      <x:c r="K19" s="90"/>
      <x:c r="L19" s="90"/>
      <x:c r="M19" s="90"/>
    </x:row>
    <x:row r="20">
      <x:c r="A20" s="90" t="str">
        <x:v>Legal, privacy and corporate</x:v>
      </x:c>
      <x:c r="B20" s="113" t="n">
        <x:v>35000</x:v>
      </x:c>
      <x:c r="C20" s="113" t="n">
        <x:v>70000</x:v>
      </x:c>
      <x:c r="D20" s="113" t="n">
        <x:v>120000</x:v>
      </x:c>
      <x:c r="E20" s="105" t="str">
        <x:v>Contracts, data rights, privacy and corporate advice</x:v>
      </x:c>
      <x:c r="F20" s="90"/>
      <x:c r="G20" s="90"/>
      <x:c r="H20" s="90"/>
      <x:c r="I20" s="90"/>
      <x:c r="J20" s="90"/>
      <x:c r="K20" s="90"/>
      <x:c r="L20" s="90"/>
      <x:c r="M20" s="90"/>
    </x:row>
    <x:row r="21">
      <x:c r="A21" s="90" t="str">
        <x:v>Cloud, software, model and data services</x:v>
      </x:c>
      <x:c r="B21" s="113" t="n">
        <x:v>30000</x:v>
      </x:c>
      <x:c r="C21" s="113" t="n">
        <x:v>60000</x:v>
      </x:c>
      <x:c r="D21" s="113" t="n">
        <x:v>120000</x:v>
      </x:c>
      <x:c r="E21" s="105" t="str">
        <x:v>No live-health-data supplier commitments assumed</x:v>
      </x:c>
      <x:c r="F21" s="90"/>
      <x:c r="G21" s="90"/>
      <x:c r="H21" s="90"/>
      <x:c r="I21" s="90"/>
      <x:c r="J21" s="90"/>
      <x:c r="K21" s="90"/>
      <x:c r="L21" s="90"/>
      <x:c r="M21" s="90"/>
    </x:row>
    <x:row r="22">
      <x:c r="A22" s="90" t="str">
        <x:v>Cybersecurity and insurance</x:v>
      </x:c>
      <x:c r="B22" s="113" t="n">
        <x:v>25000</x:v>
      </x:c>
      <x:c r="C22" s="113" t="n">
        <x:v>60000</x:v>
      </x:c>
      <x:c r="D22" s="113" t="n">
        <x:v>100000</x:v>
      </x:c>
      <x:c r="E22" s="105" t="str">
        <x:v>Security testing and insurance allowances</x:v>
      </x:c>
      <x:c r="F22" s="90"/>
      <x:c r="G22" s="90"/>
      <x:c r="H22" s="90"/>
      <x:c r="I22" s="90"/>
      <x:c r="J22" s="90"/>
      <x:c r="K22" s="90"/>
      <x:c r="L22" s="90"/>
      <x:c r="M22" s="90"/>
    </x:row>
    <x:row r="23">
      <x:c r="A23" s="90" t="str">
        <x:v>Business development, travel and brand</x:v>
      </x:c>
      <x:c r="B23" s="113" t="n">
        <x:v>20000</x:v>
      </x:c>
      <x:c r="C23" s="113" t="n">
        <x:v>45000</x:v>
      </x:c>
      <x:c r="D23" s="113" t="n">
        <x:v>100000</x:v>
      </x:c>
      <x:c r="E23" s="105" t="str">
        <x:v>Founder-led enterprise sales; restrained external spend</x:v>
      </x:c>
      <x:c r="F23" s="90"/>
      <x:c r="G23" s="90"/>
      <x:c r="H23" s="90"/>
      <x:c r="I23" s="90"/>
      <x:c r="J23" s="90"/>
      <x:c r="K23" s="90"/>
      <x:c r="L23" s="90"/>
      <x:c r="M23" s="90"/>
    </x:row>
    <x:row r="24">
      <x:c r="A24" s="90" t="str">
        <x:v>Administration, accounting and tax</x:v>
      </x:c>
      <x:c r="B24" s="113" t="n">
        <x:v>15000</x:v>
      </x:c>
      <x:c r="C24" s="113" t="n">
        <x:v>30000</x:v>
      </x:c>
      <x:c r="D24" s="113" t="n">
        <x:v>50000</x:v>
      </x:c>
      <x:c r="E24" s="105" t="str">
        <x:v>Company administration and finance support</x:v>
      </x:c>
      <x:c r="F24" s="90"/>
      <x:c r="G24" s="90"/>
      <x:c r="H24" s="90"/>
      <x:c r="I24" s="90"/>
      <x:c r="J24" s="90"/>
      <x:c r="K24" s="90"/>
      <x:c r="L24" s="90"/>
      <x:c r="M24" s="90"/>
    </x:row>
    <x:row r="25">
      <x:c r="A25" s="90" t="str">
        <x:v>Subtotal before contingency</x:v>
      </x:c>
      <x:c r="B25" s="104" t="n">
        <x:f>SUM(B15:B24)</x:f>
        <x:v>445000</x:v>
      </x:c>
      <x:c r="C25" s="104" t="n">
        <x:f>SUM(C15:C24)</x:f>
        <x:v>1135000</x:v>
      </x:c>
      <x:c r="D25" s="104" t="n">
        <x:f>SUM(D15:D24)</x:f>
        <x:v>2090000</x:v>
      </x:c>
      <x:c r="E25" s="90" t="str">
        <x:v>Formula</x:v>
      </x:c>
      <x:c r="F25" s="90"/>
      <x:c r="G25" s="90"/>
      <x:c r="H25" s="90"/>
      <x:c r="I25" s="90"/>
      <x:c r="J25" s="90"/>
      <x:c r="K25" s="90"/>
      <x:c r="L25" s="90"/>
      <x:c r="M25" s="90"/>
    </x:row>
    <x:row r="26">
      <x:c r="A26" s="90" t="str">
        <x:v>Contingency %</x:v>
      </x:c>
      <x:c r="B26" s="115" t="n">
        <x:v>0.1</x:v>
      </x:c>
      <x:c r="C26" s="115" t="n">
        <x:v>0.12</x:v>
      </x:c>
      <x:c r="D26" s="115" t="n">
        <x:v>0.15</x:v>
      </x:c>
      <x:c r="E26" s="90" t="str">
        <x:v>Higher regulated execution intensity carries higher uncertainty</x:v>
      </x:c>
      <x:c r="F26" s="90"/>
      <x:c r="G26" s="90"/>
      <x:c r="H26" s="90"/>
      <x:c r="I26" s="90"/>
      <x:c r="J26" s="90"/>
      <x:c r="K26" s="90"/>
      <x:c r="L26" s="90"/>
      <x:c r="M26" s="90"/>
    </x:row>
    <x:row r="27">
      <x:c r="A27" s="90" t="str">
        <x:v>Contingency</x:v>
      </x:c>
      <x:c r="B27" s="104" t="n">
        <x:f>B25*B26</x:f>
        <x:v>44500</x:v>
      </x:c>
      <x:c r="C27" s="104" t="n">
        <x:f>C25*C26</x:f>
        <x:v>136200</x:v>
      </x:c>
      <x:c r="D27" s="104" t="n">
        <x:f>D25*D26</x:f>
        <x:v>313500</x:v>
      </x:c>
      <x:c r="E27" s="90" t="str">
        <x:v>Formula</x:v>
      </x:c>
      <x:c r="F27" s="90"/>
      <x:c r="G27" s="90"/>
      <x:c r="H27" s="90"/>
      <x:c r="I27" s="90"/>
      <x:c r="J27" s="90"/>
      <x:c r="K27" s="90"/>
      <x:c r="L27" s="90"/>
      <x:c r="M27" s="90"/>
    </x:row>
    <x:row r="28">
      <x:c r="A28" s="116" t="str">
        <x:v>Gross 12-month spend</x:v>
      </x:c>
      <x:c r="B28" s="117" t="n">
        <x:f>SUM(B25,B27)</x:f>
        <x:v>489500</x:v>
      </x:c>
      <x:c r="C28" s="117" t="n">
        <x:f>SUM(C25,C27)</x:f>
        <x:v>1271200</x:v>
      </x:c>
      <x:c r="D28" s="117" t="n">
        <x:f>SUM(D25,D27)</x:f>
        <x:v>2403500</x:v>
      </x:c>
      <x:c r="E28" s="116" t="str">
        <x:v>Formula</x:v>
      </x:c>
      <x:c r="F28" s="90"/>
      <x:c r="G28" s="90"/>
      <x:c r="H28" s="90"/>
      <x:c r="I28" s="90"/>
      <x:c r="J28" s="90"/>
      <x:c r="K28" s="90"/>
      <x:c r="L28" s="90"/>
      <x:c r="M28" s="90"/>
    </x:row>
    <x:row r="29">
      <x:c r="A29" s="90" t="str">
        <x:v>Potential governed evidence revenue</x:v>
      </x:c>
      <x:c r="B29" s="113" t="n">
        <x:v>30000</x:v>
      </x:c>
      <x:c r="C29" s="113" t="n">
        <x:v>50000</x:v>
      </x:c>
      <x:c r="D29" s="113" t="n">
        <x:v>150000</x:v>
      </x:c>
      <x:c r="E29" s="90" t="str">
        <x:v>Assumption only; no production revenue included</x:v>
      </x:c>
      <x:c r="F29" s="90"/>
      <x:c r="G29" s="90"/>
      <x:c r="H29" s="90"/>
      <x:c r="I29" s="90"/>
      <x:c r="J29" s="90"/>
      <x:c r="K29" s="90"/>
      <x:c r="L29" s="90"/>
      <x:c r="M29" s="90"/>
    </x:row>
    <x:row r="30">
      <x:c r="A30" s="90" t="str">
        <x:v>Minimum cash reserve %</x:v>
      </x:c>
      <x:c r="B30" s="115" t="n">
        <x:v>0.15</x:v>
      </x:c>
      <x:c r="C30" s="115" t="n">
        <x:v>0.2</x:v>
      </x:c>
      <x:c r="D30" s="115" t="n">
        <x:v>0.25</x:v>
      </x:c>
      <x:c r="E30" s="90" t="str">
        <x:v>Planning reserve, not a solvency opinion</x:v>
      </x:c>
      <x:c r="F30" s="90"/>
      <x:c r="G30" s="90"/>
      <x:c r="H30" s="90"/>
      <x:c r="I30" s="90"/>
      <x:c r="J30" s="90"/>
      <x:c r="K30" s="90"/>
      <x:c r="L30" s="90"/>
      <x:c r="M30" s="90"/>
    </x:row>
    <x:row r="31">
      <x:c r="A31" s="90" t="str">
        <x:v>Minimum cash reserve</x:v>
      </x:c>
      <x:c r="B31" s="104" t="n">
        <x:f>B28*B30</x:f>
        <x:v>73425</x:v>
      </x:c>
      <x:c r="C31" s="104" t="n">
        <x:f>C28*C30</x:f>
        <x:v>254240</x:v>
      </x:c>
      <x:c r="D31" s="104" t="n">
        <x:f>D28*D30</x:f>
        <x:v>600875</x:v>
      </x:c>
      <x:c r="E31" s="90" t="str">
        <x:v>Formula</x:v>
      </x:c>
      <x:c r="F31" s="90"/>
      <x:c r="G31" s="90"/>
      <x:c r="H31" s="90"/>
      <x:c r="I31" s="90"/>
      <x:c r="J31" s="90"/>
      <x:c r="K31" s="90"/>
      <x:c r="L31" s="90"/>
      <x:c r="M31" s="90"/>
    </x:row>
    <x:row r="32">
      <x:c r="A32" s="116" t="str">
        <x:v>Indicative funding need before opening cash/liabilities</x:v>
      </x:c>
      <x:c r="B32" s="117" t="n">
        <x:f>B28-B29+B31</x:f>
        <x:v>532925</x:v>
      </x:c>
      <x:c r="C32" s="117" t="n">
        <x:f>C28-C29+C31</x:f>
        <x:v>1475440</x:v>
      </x:c>
      <x:c r="D32" s="117" t="n">
        <x:f>D28-D29+D31</x:f>
        <x:v>2854375</x:v>
      </x:c>
      <x:c r="E32" s="116" t="str">
        <x:v>Gross spend less evidence revenue plus reserve</x:v>
      </x:c>
      <x:c r="F32" s="90"/>
      <x:c r="G32" s="90"/>
      <x:c r="H32" s="90"/>
      <x:c r="I32" s="90"/>
      <x:c r="J32" s="90"/>
      <x:c r="K32" s="90"/>
      <x:c r="L32" s="90"/>
      <x:c r="M32" s="90"/>
    </x:row>
    <x:row r="33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</x:row>
    <x:row r="34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</x:row>
    <x:row r="35" ht="22" customHeight="1">
      <x:c r="A35" s="102" t="str">
        <x:v>Planned financing schedule — editable; default is zero</x:v>
      </x:c>
      <x:c r="B35" s="102" t="str">
        <x:v>Planned financing schedule — editable; default is zero</x:v>
      </x:c>
      <x:c r="C35" s="102" t="str">
        <x:v>Planned financing schedule — editable; default is zero</x:v>
      </x:c>
      <x:c r="D35" s="102" t="str">
        <x:v>Planned financing schedule — editable; default is zero</x:v>
      </x:c>
      <x:c r="E35" s="102" t="str">
        <x:v>Planned financing schedule — editable; default is zero</x:v>
      </x:c>
      <x:c r="F35" s="102" t="str">
        <x:v>Planned financing schedule — editable; default is zero</x:v>
      </x:c>
      <x:c r="G35" s="102" t="str">
        <x:v>Planned financing schedule — editable; default is zero</x:v>
      </x:c>
      <x:c r="H35" s="102" t="str">
        <x:v>Planned financing schedule — editable; default is zero</x:v>
      </x:c>
      <x:c r="I35" s="102" t="str">
        <x:v>Planned financing schedule — editable; default is zero</x:v>
      </x:c>
      <x:c r="J35" s="102" t="str">
        <x:v>Planned financing schedule — editable; default is zero</x:v>
      </x:c>
      <x:c r="K35" s="102" t="str">
        <x:v>Planned financing schedule — editable; default is zero</x:v>
      </x:c>
      <x:c r="L35" s="102" t="str">
        <x:v>Planned financing schedule — editable; default is zero</x:v>
      </x:c>
      <x:c r="M35" s="102" t="str">
        <x:v>Planned financing schedule — editable; default is zero</x:v>
      </x:c>
    </x:row>
    <x:row r="36">
      <x:c r="A36" s="90"/>
      <x:c r="B36" s="118" t="n">
        <x:v>46235</x:v>
      </x:c>
      <x:c r="C36" s="118" t="n">
        <x:v>46266</x:v>
      </x:c>
      <x:c r="D36" s="118" t="n">
        <x:v>46296</x:v>
      </x:c>
      <x:c r="E36" s="118" t="n">
        <x:v>46327</x:v>
      </x:c>
      <x:c r="F36" s="118" t="n">
        <x:v>46357</x:v>
      </x:c>
      <x:c r="G36" s="118" t="n">
        <x:v>46388</x:v>
      </x:c>
      <x:c r="H36" s="118" t="n">
        <x:v>46419</x:v>
      </x:c>
      <x:c r="I36" s="118" t="n">
        <x:v>46447</x:v>
      </x:c>
      <x:c r="J36" s="118" t="n">
        <x:v>46478</x:v>
      </x:c>
      <x:c r="K36" s="118" t="n">
        <x:v>46508</x:v>
      </x:c>
      <x:c r="L36" s="118" t="n">
        <x:v>46539</x:v>
      </x:c>
      <x:c r="M36" s="118" t="n">
        <x:v>46569</x:v>
      </x:c>
    </x:row>
    <x:row r="37">
      <x:c r="A37" s="90" t="str">
        <x:v>Financing inflow</x:v>
      </x:c>
      <x:c r="B37" s="113" t="n">
        <x:v>0</x:v>
      </x:c>
      <x:c r="C37" s="113" t="n">
        <x:v>0</x:v>
      </x:c>
      <x:c r="D37" s="113" t="n">
        <x:v>0</x:v>
      </x:c>
      <x:c r="E37" s="113" t="n">
        <x:v>0</x:v>
      </x:c>
      <x:c r="F37" s="113" t="n">
        <x:v>0</x:v>
      </x:c>
      <x:c r="G37" s="113" t="n">
        <x:v>0</x:v>
      </x:c>
      <x:c r="H37" s="113" t="n">
        <x:v>0</x:v>
      </x:c>
      <x:c r="I37" s="113" t="n">
        <x:v>0</x:v>
      </x:c>
      <x:c r="J37" s="113" t="n">
        <x:v>0</x:v>
      </x:c>
      <x:c r="K37" s="113" t="n">
        <x:v>0</x:v>
      </x:c>
      <x:c r="L37" s="113" t="n">
        <x:v>0</x:v>
      </x:c>
      <x:c r="M37" s="113" t="n">
        <x:v>0</x:v>
      </x:c>
    </x:row>
  </x:sheetData>
  <x:mergeCells>
    <x:mergeCell ref="A1:E1"/>
    <x:mergeCell ref="A2:E2"/>
    <x:mergeCell ref="A13:E13"/>
    <x:mergeCell ref="A35:M35"/>
  </x:mergeCells>
  <x:dataValidations count="2">
    <x:dataValidation type="whole" operator="between" sqref="B4">
      <x:formula1>1</x:formula1>
      <x:formula2>3</x:formula2>
    </x:dataValidation>
    <x:dataValidation type="list" sqref="B9:B11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77efa04b9fda494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88" t="str">
        <x:v>Monthly Phasing Drivers</x:v>
      </x:c>
      <x:c r="B1" s="88" t="str">
        <x:v>Monthly Phasing Drivers</x:v>
      </x:c>
      <x:c r="C1" s="88" t="str">
        <x:v>Monthly Phasing Drivers</x:v>
      </x:c>
      <x:c r="D1" s="88" t="str">
        <x:v>Monthly Phasing Drivers</x:v>
      </x:c>
      <x:c r="E1" s="88" t="str">
        <x:v>Monthly Phasing Drivers</x:v>
      </x:c>
      <x:c r="F1" s="88" t="str">
        <x:v>Monthly Phasing Drivers</x:v>
      </x:c>
      <x:c r="G1" s="88" t="str">
        <x:v>Monthly Phasing Drivers</x:v>
      </x:c>
      <x:c r="H1" s="88" t="str">
        <x:v>Monthly Phasing Drivers</x:v>
      </x:c>
      <x:c r="I1" s="88" t="str">
        <x:v>Monthly Phasing Drivers</x:v>
      </x:c>
      <x:c r="J1" s="88" t="str">
        <x:v>Monthly Phasing Drivers</x:v>
      </x:c>
      <x:c r="K1" s="88" t="str">
        <x:v>Monthly Phasing Drivers</x:v>
      </x:c>
      <x:c r="L1" s="88" t="str">
        <x:v>Monthly Phasing Drivers</x:v>
      </x:c>
      <x:c r="M1" s="88" t="str">
        <x:v>Monthly Phasing Drivers</x:v>
      </x:c>
      <x:c r="N1" s="88" t="str">
        <x:v>Monthly Phasing Drivers</x:v>
      </x:c>
    </x:row>
    <x:row r="2">
      <x:c r="A2" s="90" t="str">
        <x:v>Every annual cost and potential evidence-revenue assumption is phased across 12 months. Each row must total 100%.</x:v>
      </x:c>
      <x:c r="B2" s="90" t="str">
        <x:v>Every annual cost and potential evidence-revenue assumption is phased across 12 months. Each row must total 100%.</x:v>
      </x:c>
      <x:c r="C2" s="90" t="str">
        <x:v>Every annual cost and potential evidence-revenue assumption is phased across 12 months. Each row must total 100%.</x:v>
      </x:c>
      <x:c r="D2" s="90" t="str">
        <x:v>Every annual cost and potential evidence-revenue assumption is phased across 12 months. Each row must total 100%.</x:v>
      </x:c>
      <x:c r="E2" s="90" t="str">
        <x:v>Every annual cost and potential evidence-revenue assumption is phased across 12 months. Each row must total 100%.</x:v>
      </x:c>
      <x:c r="F2" s="90" t="str">
        <x:v>Every annual cost and potential evidence-revenue assumption is phased across 12 months. Each row must total 100%.</x:v>
      </x:c>
      <x:c r="G2" s="90" t="str">
        <x:v>Every annual cost and potential evidence-revenue assumption is phased across 12 months. Each row must total 100%.</x:v>
      </x:c>
      <x:c r="H2" s="90" t="str">
        <x:v>Every annual cost and potential evidence-revenue assumption is phased across 12 months. Each row must total 100%.</x:v>
      </x:c>
      <x:c r="I2" s="90" t="str">
        <x:v>Every annual cost and potential evidence-revenue assumption is phased across 12 months. Each row must total 100%.</x:v>
      </x:c>
      <x:c r="J2" s="90" t="str">
        <x:v>Every annual cost and potential evidence-revenue assumption is phased across 12 months. Each row must total 100%.</x:v>
      </x:c>
      <x:c r="K2" s="90" t="str">
        <x:v>Every annual cost and potential evidence-revenue assumption is phased across 12 months. Each row must total 100%.</x:v>
      </x:c>
      <x:c r="L2" s="90" t="str">
        <x:v>Every annual cost and potential evidence-revenue assumption is phased across 12 months. Each row must total 100%.</x:v>
      </x:c>
      <x:c r="M2" s="90" t="str">
        <x:v>Every annual cost and potential evidence-revenue assumption is phased across 12 months. Each row must total 100%.</x:v>
      </x:c>
      <x:c r="N2" s="90" t="str">
        <x:v>Every annual cost and potential evidence-revenue assumption is phased across 12 months. Each row must total 100%.</x:v>
      </x:c>
    </x:row>
    <x:row r="3">
      <x:c r="A3" s="103" t="str">
        <x:v>Category</x:v>
      </x:c>
      <x:c r="B3" s="118" t="n">
        <x:v>46235</x:v>
      </x:c>
      <x:c r="C3" s="118" t="n">
        <x:v>46266</x:v>
      </x:c>
      <x:c r="D3" s="118" t="n">
        <x:v>46296</x:v>
      </x:c>
      <x:c r="E3" s="118" t="n">
        <x:v>46327</x:v>
      </x:c>
      <x:c r="F3" s="118" t="n">
        <x:v>46357</x:v>
      </x:c>
      <x:c r="G3" s="118" t="n">
        <x:v>46388</x:v>
      </x:c>
      <x:c r="H3" s="118" t="n">
        <x:v>46419</x:v>
      </x:c>
      <x:c r="I3" s="118" t="n">
        <x:v>46447</x:v>
      </x:c>
      <x:c r="J3" s="118" t="n">
        <x:v>46478</x:v>
      </x:c>
      <x:c r="K3" s="118" t="n">
        <x:v>46508</x:v>
      </x:c>
      <x:c r="L3" s="118" t="n">
        <x:v>46539</x:v>
      </x:c>
      <x:c r="M3" s="118" t="n">
        <x:v>46569</x:v>
      </x:c>
      <x:c r="N3" s="103" t="str">
        <x:v>Total</x:v>
      </x:c>
    </x:row>
    <x:row r="4">
      <x:c r="A4" s="90" t="str">
        <x:v>Founder / executive capacity</x:v>
      </x:c>
      <x:c r="B4" s="119" t="n">
        <x:v>0.08333333333333333</x:v>
      </x:c>
      <x:c r="C4" s="119" t="n">
        <x:v>0.08333333333333333</x:v>
      </x:c>
      <x:c r="D4" s="119" t="n">
        <x:v>0.08333333333333333</x:v>
      </x:c>
      <x:c r="E4" s="119" t="n">
        <x:v>0.08333333333333333</x:v>
      </x:c>
      <x:c r="F4" s="119" t="n">
        <x:v>0.08333333333333333</x:v>
      </x:c>
      <x:c r="G4" s="119" t="n">
        <x:v>0.08333333333333333</x:v>
      </x:c>
      <x:c r="H4" s="119" t="n">
        <x:v>0.08333333333333333</x:v>
      </x:c>
      <x:c r="I4" s="119" t="n">
        <x:v>0.08333333333333333</x:v>
      </x:c>
      <x:c r="J4" s="119" t="n">
        <x:v>0.08333333333333333</x:v>
      </x:c>
      <x:c r="K4" s="119" t="n">
        <x:v>0.08333333333333333</x:v>
      </x:c>
      <x:c r="L4" s="119" t="n">
        <x:v>0.08333333333333333</x:v>
      </x:c>
      <x:c r="M4" s="119" t="n">
        <x:v>0.08333333333333333</x:v>
      </x:c>
      <x:c r="N4" s="120" t="n">
        <x:f>SUM(B4:M4)</x:f>
        <x:v>1</x:v>
      </x:c>
    </x:row>
    <x:row r="5">
      <x:c r="A5" s="90" t="str">
        <x:v>Engineering, product and integrations</x:v>
      </x:c>
      <x:c r="B5" s="119" t="n">
        <x:v>0.05</x:v>
      </x:c>
      <x:c r="C5" s="119" t="n">
        <x:v>0.05</x:v>
      </x:c>
      <x:c r="D5" s="119" t="n">
        <x:v>0.07</x:v>
      </x:c>
      <x:c r="E5" s="119" t="n">
        <x:v>0.07</x:v>
      </x:c>
      <x:c r="F5" s="119" t="n">
        <x:v>0.08</x:v>
      </x:c>
      <x:c r="G5" s="119" t="n">
        <x:v>0.08</x:v>
      </x:c>
      <x:c r="H5" s="119" t="n">
        <x:v>0.09</x:v>
      </x:c>
      <x:c r="I5" s="119" t="n">
        <x:v>0.09</x:v>
      </x:c>
      <x:c r="J5" s="119" t="n">
        <x:v>0.1</x:v>
      </x:c>
      <x:c r="K5" s="119" t="n">
        <x:v>0.1</x:v>
      </x:c>
      <x:c r="L5" s="119" t="n">
        <x:v>0.11</x:v>
      </x:c>
      <x:c r="M5" s="119" t="n">
        <x:v>0.11</x:v>
      </x:c>
      <x:c r="N5" s="120" t="n">
        <x:f>SUM(B5:M5)</x:f>
        <x:v>0.9999999999999999</x:v>
      </x:c>
    </x:row>
    <x:row r="6">
      <x:c r="A6" s="90" t="str">
        <x:v>Quality management and regulatory</x:v>
      </x:c>
      <x:c r="B6" s="119" t="n">
        <x:v>0.15</x:v>
      </x:c>
      <x:c r="C6" s="119" t="n">
        <x:v>0.15</x:v>
      </x:c>
      <x:c r="D6" s="119" t="n">
        <x:v>0.12</x:v>
      </x:c>
      <x:c r="E6" s="119" t="n">
        <x:v>0.1</x:v>
      </x:c>
      <x:c r="F6" s="119" t="n">
        <x:v>0.08</x:v>
      </x:c>
      <x:c r="G6" s="119" t="n">
        <x:v>0.08</x:v>
      </x:c>
      <x:c r="H6" s="119" t="n">
        <x:v>0.07</x:v>
      </x:c>
      <x:c r="I6" s="119" t="n">
        <x:v>0.07</x:v>
      </x:c>
      <x:c r="J6" s="119" t="n">
        <x:v>0.05</x:v>
      </x:c>
      <x:c r="K6" s="119" t="n">
        <x:v>0.05</x:v>
      </x:c>
      <x:c r="L6" s="119" t="n">
        <x:v>0.04</x:v>
      </x:c>
      <x:c r="M6" s="119" t="n">
        <x:v>0.04</x:v>
      </x:c>
      <x:c r="N6" s="120" t="n">
        <x:f>SUM(B6:M6)</x:f>
        <x:v>1.0000000000000002</x:v>
      </x:c>
    </x:row>
    <x:row r="7">
      <x:c r="A7" s="90" t="str">
        <x:v>Clinical authority, doctor and pharmacy input</x:v>
      </x:c>
      <x:c r="B7" s="119" t="n">
        <x:v>0.05</x:v>
      </x:c>
      <x:c r="C7" s="119" t="n">
        <x:v>0.08</x:v>
      </x:c>
      <x:c r="D7" s="119" t="n">
        <x:v>0.1</x:v>
      </x:c>
      <x:c r="E7" s="119" t="n">
        <x:v>0.1</x:v>
      </x:c>
      <x:c r="F7" s="119" t="n">
        <x:v>0.1</x:v>
      </x:c>
      <x:c r="G7" s="119" t="n">
        <x:v>0.1</x:v>
      </x:c>
      <x:c r="H7" s="119" t="n">
        <x:v>0.1</x:v>
      </x:c>
      <x:c r="I7" s="119" t="n">
        <x:v>0.1</x:v>
      </x:c>
      <x:c r="J7" s="119" t="n">
        <x:v>0.08</x:v>
      </x:c>
      <x:c r="K7" s="119" t="n">
        <x:v>0.07</x:v>
      </x:c>
      <x:c r="L7" s="119" t="n">
        <x:v>0.06</x:v>
      </x:c>
      <x:c r="M7" s="119" t="n">
        <x:v>0.06</x:v>
      </x:c>
      <x:c r="N7" s="120" t="n">
        <x:f>SUM(B7:M7)</x:f>
        <x:v>1</x:v>
      </x:c>
    </x:row>
    <x:row r="8">
      <x:c r="A8" s="90" t="str">
        <x:v>Evidence, human factors and statistics</x:v>
      </x:c>
      <x:c r="B8" s="119" t="n">
        <x:v>0</x:v>
      </x:c>
      <x:c r="C8" s="119" t="n">
        <x:v>0</x:v>
      </x:c>
      <x:c r="D8" s="119" t="n">
        <x:v>0.05</x:v>
      </x:c>
      <x:c r="E8" s="119" t="n">
        <x:v>0.1</x:v>
      </x:c>
      <x:c r="F8" s="119" t="n">
        <x:v>0.1</x:v>
      </x:c>
      <x:c r="G8" s="119" t="n">
        <x:v>0.15</x:v>
      </x:c>
      <x:c r="H8" s="119" t="n">
        <x:v>0.15</x:v>
      </x:c>
      <x:c r="I8" s="119" t="n">
        <x:v>0.15</x:v>
      </x:c>
      <x:c r="J8" s="119" t="n">
        <x:v>0.15</x:v>
      </x:c>
      <x:c r="K8" s="119" t="n">
        <x:v>0.1</x:v>
      </x:c>
      <x:c r="L8" s="119" t="n">
        <x:v>0.05</x:v>
      </x:c>
      <x:c r="M8" s="119" t="n">
        <x:v>0</x:v>
      </x:c>
      <x:c r="N8" s="120" t="n">
        <x:f>SUM(B8:M8)</x:f>
        <x:v>1</x:v>
      </x:c>
    </x:row>
    <x:row r="9">
      <x:c r="A9" s="90" t="str">
        <x:v>Legal, privacy and corporate</x:v>
      </x:c>
      <x:c r="B9" s="119" t="n">
        <x:v>0.2</x:v>
      </x:c>
      <x:c r="C9" s="119" t="n">
        <x:v>0.15</x:v>
      </x:c>
      <x:c r="D9" s="119" t="n">
        <x:v>0.1</x:v>
      </x:c>
      <x:c r="E9" s="119" t="n">
        <x:v>0.1</x:v>
      </x:c>
      <x:c r="F9" s="119" t="n">
        <x:v>0.08</x:v>
      </x:c>
      <x:c r="G9" s="119" t="n">
        <x:v>0.08</x:v>
      </x:c>
      <x:c r="H9" s="119" t="n">
        <x:v>0.07</x:v>
      </x:c>
      <x:c r="I9" s="119" t="n">
        <x:v>0.05</x:v>
      </x:c>
      <x:c r="J9" s="119" t="n">
        <x:v>0.05</x:v>
      </x:c>
      <x:c r="K9" s="119" t="n">
        <x:v>0.05</x:v>
      </x:c>
      <x:c r="L9" s="119" t="n">
        <x:v>0.04</x:v>
      </x:c>
      <x:c r="M9" s="119" t="n">
        <x:v>0.03</x:v>
      </x:c>
      <x:c r="N9" s="120" t="n">
        <x:f>SUM(B9:M9)</x:f>
        <x:v>1</x:v>
      </x:c>
    </x:row>
    <x:row r="10">
      <x:c r="A10" s="90" t="str">
        <x:v>Cloud, software, model and data services</x:v>
      </x:c>
      <x:c r="B10" s="119" t="n">
        <x:v>0.05</x:v>
      </x:c>
      <x:c r="C10" s="119" t="n">
        <x:v>0.05</x:v>
      </x:c>
      <x:c r="D10" s="119" t="n">
        <x:v>0.06</x:v>
      </x:c>
      <x:c r="E10" s="119" t="n">
        <x:v>0.06</x:v>
      </x:c>
      <x:c r="F10" s="119" t="n">
        <x:v>0.07</x:v>
      </x:c>
      <x:c r="G10" s="119" t="n">
        <x:v>0.07</x:v>
      </x:c>
      <x:c r="H10" s="119" t="n">
        <x:v>0.08</x:v>
      </x:c>
      <x:c r="I10" s="119" t="n">
        <x:v>0.09</x:v>
      </x:c>
      <x:c r="J10" s="119" t="n">
        <x:v>0.1</x:v>
      </x:c>
      <x:c r="K10" s="119" t="n">
        <x:v>0.11</x:v>
      </x:c>
      <x:c r="L10" s="119" t="n">
        <x:v>0.12</x:v>
      </x:c>
      <x:c r="M10" s="119" t="n">
        <x:v>0.14</x:v>
      </x:c>
      <x:c r="N10" s="120" t="n">
        <x:f>SUM(B10:M10)</x:f>
        <x:v>1</x:v>
      </x:c>
    </x:row>
    <x:row r="11">
      <x:c r="A11" s="90" t="str">
        <x:v>Cybersecurity and insurance</x:v>
      </x:c>
      <x:c r="B11" s="119" t="n">
        <x:v>0.05</x:v>
      </x:c>
      <x:c r="C11" s="119" t="n">
        <x:v>0.1</x:v>
      </x:c>
      <x:c r="D11" s="119" t="n">
        <x:v>0.15</x:v>
      </x:c>
      <x:c r="E11" s="119" t="n">
        <x:v>0.1</x:v>
      </x:c>
      <x:c r="F11" s="119" t="n">
        <x:v>0.1</x:v>
      </x:c>
      <x:c r="G11" s="119" t="n">
        <x:v>0.1</x:v>
      </x:c>
      <x:c r="H11" s="119" t="n">
        <x:v>0.1</x:v>
      </x:c>
      <x:c r="I11" s="119" t="n">
        <x:v>0.1</x:v>
      </x:c>
      <x:c r="J11" s="119" t="n">
        <x:v>0.05</x:v>
      </x:c>
      <x:c r="K11" s="119" t="n">
        <x:v>0.05</x:v>
      </x:c>
      <x:c r="L11" s="119" t="n">
        <x:v>0.05</x:v>
      </x:c>
      <x:c r="M11" s="119" t="n">
        <x:v>0.05</x:v>
      </x:c>
      <x:c r="N11" s="120" t="n">
        <x:f>SUM(B11:M11)</x:f>
        <x:v>1</x:v>
      </x:c>
    </x:row>
    <x:row r="12">
      <x:c r="A12" s="90" t="str">
        <x:v>Business development, travel and brand</x:v>
      </x:c>
      <x:c r="B12" s="119" t="n">
        <x:v>0.05</x:v>
      </x:c>
      <x:c r="C12" s="119" t="n">
        <x:v>0.05</x:v>
      </x:c>
      <x:c r="D12" s="119" t="n">
        <x:v>0.1</x:v>
      </x:c>
      <x:c r="E12" s="119" t="n">
        <x:v>0.1</x:v>
      </x:c>
      <x:c r="F12" s="119" t="n">
        <x:v>0.1</x:v>
      </x:c>
      <x:c r="G12" s="119" t="n">
        <x:v>0.1</x:v>
      </x:c>
      <x:c r="H12" s="119" t="n">
        <x:v>0.1</x:v>
      </x:c>
      <x:c r="I12" s="119" t="n">
        <x:v>0.1</x:v>
      </x:c>
      <x:c r="J12" s="119" t="n">
        <x:v>0.1</x:v>
      </x:c>
      <x:c r="K12" s="119" t="n">
        <x:v>0.1</x:v>
      </x:c>
      <x:c r="L12" s="119" t="n">
        <x:v>0.05</x:v>
      </x:c>
      <x:c r="M12" s="119" t="n">
        <x:v>0.05</x:v>
      </x:c>
      <x:c r="N12" s="120" t="n">
        <x:f>SUM(B12:M12)</x:f>
        <x:v>1</x:v>
      </x:c>
    </x:row>
    <x:row r="13">
      <x:c r="A13" s="90" t="str">
        <x:v>Administration, accounting and tax</x:v>
      </x:c>
      <x:c r="B13" s="119" t="n">
        <x:v>0.08333333333333333</x:v>
      </x:c>
      <x:c r="C13" s="119" t="n">
        <x:v>0.08333333333333333</x:v>
      </x:c>
      <x:c r="D13" s="119" t="n">
        <x:v>0.08333333333333333</x:v>
      </x:c>
      <x:c r="E13" s="119" t="n">
        <x:v>0.08333333333333333</x:v>
      </x:c>
      <x:c r="F13" s="119" t="n">
        <x:v>0.08333333333333333</x:v>
      </x:c>
      <x:c r="G13" s="119" t="n">
        <x:v>0.08333333333333333</x:v>
      </x:c>
      <x:c r="H13" s="119" t="n">
        <x:v>0.08333333333333333</x:v>
      </x:c>
      <x:c r="I13" s="119" t="n">
        <x:v>0.08333333333333333</x:v>
      </x:c>
      <x:c r="J13" s="119" t="n">
        <x:v>0.08333333333333333</x:v>
      </x:c>
      <x:c r="K13" s="119" t="n">
        <x:v>0.08333333333333333</x:v>
      </x:c>
      <x:c r="L13" s="119" t="n">
        <x:v>0.08333333333333333</x:v>
      </x:c>
      <x:c r="M13" s="119" t="n">
        <x:v>0.08333333333333333</x:v>
      </x:c>
      <x:c r="N13" s="120" t="n">
        <x:f>SUM(B13:M13)</x:f>
        <x:v>1</x:v>
      </x:c>
    </x:row>
    <x:row r="14">
      <x:c r="A14" s="90" t="str">
        <x:v>Potential governed evidence revenue</x:v>
      </x:c>
      <x:c r="B14" s="119" t="n">
        <x:v>0</x:v>
      </x:c>
      <x:c r="C14" s="119" t="n">
        <x:v>0</x:v>
      </x:c>
      <x:c r="D14" s="119" t="n">
        <x:v>0</x:v>
      </x:c>
      <x:c r="E14" s="119" t="n">
        <x:v>0</x:v>
      </x:c>
      <x:c r="F14" s="119" t="n">
        <x:v>0</x:v>
      </x:c>
      <x:c r="G14" s="119" t="n">
        <x:v>0</x:v>
      </x:c>
      <x:c r="H14" s="119" t="n">
        <x:v>0.1</x:v>
      </x:c>
      <x:c r="I14" s="119" t="n">
        <x:v>0.2</x:v>
      </x:c>
      <x:c r="J14" s="119" t="n">
        <x:v>0.3</x:v>
      </x:c>
      <x:c r="K14" s="119" t="n">
        <x:v>0.3</x:v>
      </x:c>
      <x:c r="L14" s="119" t="n">
        <x:v>0.1</x:v>
      </x:c>
      <x:c r="M14" s="119" t="n">
        <x:v>0</x:v>
      </x:c>
      <x:c r="N14" s="120" t="n">
        <x:f>SUM(B14:M14)</x:f>
        <x:v>1.0000000000000002</x:v>
      </x:c>
    </x:row>
  </x:sheetData>
  <x:mergeCells>
    <x:mergeCell ref="A1:N1"/>
    <x:mergeCell ref="A2:N2"/>
  </x:mergeCells>
  <x:conditionalFormatting sqref="N4:N14">
    <x:cfRule type="expression" dxfId="0" priority="1">
      <x:formula>ABS(N4-1)&gt;0.000001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0" customHeight="1">
      <x:c r="A1" s="88" t="str">
        <x:v>Makoha 12-Month Cash Plan</x:v>
      </x:c>
      <x:c r="B1" s="88" t="str">
        <x:v>Makoha 12-Month Cash Plan</x:v>
      </x:c>
      <x:c r="C1" s="88" t="str">
        <x:v>Makoha 12-Month Cash Plan</x:v>
      </x:c>
      <x:c r="D1" s="88" t="str">
        <x:v>Makoha 12-Month Cash Plan</x:v>
      </x:c>
      <x:c r="E1" s="88" t="str">
        <x:v>Makoha 12-Month Cash Plan</x:v>
      </x:c>
      <x:c r="F1" s="88" t="str">
        <x:v>Makoha 12-Month Cash Plan</x:v>
      </x:c>
      <x:c r="G1" s="88" t="str">
        <x:v>Makoha 12-Month Cash Plan</x:v>
      </x:c>
      <x:c r="H1" s="88" t="str">
        <x:v>Makoha 12-Month Cash Plan</x:v>
      </x:c>
      <x:c r="I1" s="88" t="str">
        <x:v>Makoha 12-Month Cash Plan</x:v>
      </x:c>
      <x:c r="J1" s="88" t="str">
        <x:v>Makoha 12-Month Cash Plan</x:v>
      </x:c>
      <x:c r="K1" s="88" t="str">
        <x:v>Makoha 12-Month Cash Plan</x:v>
      </x:c>
      <x:c r="L1" s="88" t="str">
        <x:v>Makoha 12-Month Cash Plan</x:v>
      </x:c>
      <x:c r="M1" s="88" t="str">
        <x:v>Makoha 12-Month Cash Plan</x:v>
      </x:c>
      <x:c r="N1" s="88" t="str">
        <x:v>Makoha 12-Month Cash Plan</x:v>
      </x:c>
      <x:c r="O1" s="88" t="str">
        <x:v>Makoha 12-Month Cash Plan</x:v>
      </x:c>
    </x:row>
    <x:row r="2">
      <x:c r="A2" s="90" t="str">
        <x:v>Scenario-driven plan from August 2026 to July 2027. No production revenue, patient fees or uncontracted doctor-service revenue is assumed.</x:v>
      </x:c>
      <x:c r="B2" s="90" t="str">
        <x:v>Scenario-driven plan from August 2026 to July 2027. No production revenue, patient fees or uncontracted doctor-service revenue is assumed.</x:v>
      </x:c>
      <x:c r="C2" s="90" t="str">
        <x:v>Scenario-driven plan from August 2026 to July 2027. No production revenue, patient fees or uncontracted doctor-service revenue is assumed.</x:v>
      </x:c>
      <x:c r="D2" s="90" t="str">
        <x:v>Scenario-driven plan from August 2026 to July 2027. No production revenue, patient fees or uncontracted doctor-service revenue is assumed.</x:v>
      </x:c>
      <x:c r="E2" s="90" t="str">
        <x:v>Scenario-driven plan from August 2026 to July 2027. No production revenue, patient fees or uncontracted doctor-service revenue is assumed.</x:v>
      </x:c>
      <x:c r="F2" s="90" t="str">
        <x:v>Scenario-driven plan from August 2026 to July 2027. No production revenue, patient fees or uncontracted doctor-service revenue is assumed.</x:v>
      </x:c>
      <x:c r="G2" s="90" t="str">
        <x:v>Scenario-driven plan from August 2026 to July 2027. No production revenue, patient fees or uncontracted doctor-service revenue is assumed.</x:v>
      </x:c>
      <x:c r="H2" s="90" t="str">
        <x:v>Scenario-driven plan from August 2026 to July 2027. No production revenue, patient fees or uncontracted doctor-service revenue is assumed.</x:v>
      </x:c>
      <x:c r="I2" s="90" t="str">
        <x:v>Scenario-driven plan from August 2026 to July 2027. No production revenue, patient fees or uncontracted doctor-service revenue is assumed.</x:v>
      </x:c>
      <x:c r="J2" s="90" t="str">
        <x:v>Scenario-driven plan from August 2026 to July 2027. No production revenue, patient fees or uncontracted doctor-service revenue is assumed.</x:v>
      </x:c>
      <x:c r="K2" s="90" t="str">
        <x:v>Scenario-driven plan from August 2026 to July 2027. No production revenue, patient fees or uncontracted doctor-service revenue is assumed.</x:v>
      </x:c>
      <x:c r="L2" s="90" t="str">
        <x:v>Scenario-driven plan from August 2026 to July 2027. No production revenue, patient fees or uncontracted doctor-service revenue is assumed.</x:v>
      </x:c>
      <x:c r="M2" s="90" t="str">
        <x:v>Scenario-driven plan from August 2026 to July 2027. No production revenue, patient fees or uncontracted doctor-service revenue is assumed.</x:v>
      </x:c>
      <x:c r="N2" s="90" t="str">
        <x:v>Scenario-driven plan from August 2026 to July 2027. No production revenue, patient fees or uncontracted doctor-service revenue is assumed.</x:v>
      </x:c>
      <x:c r="O2" s="90" t="str">
        <x:v>Scenario-driven plan from August 2026 to July 2027. No production revenue, patient fees or uncontracted doctor-service revenue is assumed.</x:v>
      </x:c>
    </x:row>
    <x:row r="3">
      <x:c r="A3" s="103" t="str">
        <x:v>Metric</x:v>
      </x:c>
      <x:c r="B3" s="103" t="str">
        <x:v>Aug 26</x:v>
      </x:c>
      <x:c r="C3" s="103" t="str">
        <x:v>Sept 26</x:v>
      </x:c>
      <x:c r="D3" s="103" t="str">
        <x:v>Oct 26</x:v>
      </x:c>
      <x:c r="E3" s="103" t="str">
        <x:v>Nov 26</x:v>
      </x:c>
      <x:c r="F3" s="103" t="str">
        <x:v>Dec 26</x:v>
      </x:c>
      <x:c r="G3" s="103" t="str">
        <x:v>Jan 27</x:v>
      </x:c>
      <x:c r="H3" s="103" t="str">
        <x:v>Feb 27</x:v>
      </x:c>
      <x:c r="I3" s="103" t="str">
        <x:v>Mar 27</x:v>
      </x:c>
      <x:c r="J3" s="103" t="str">
        <x:v>Apr 27</x:v>
      </x:c>
      <x:c r="K3" s="103" t="str">
        <x:v>May 27</x:v>
      </x:c>
      <x:c r="L3" s="103" t="str">
        <x:v>June 27</x:v>
      </x:c>
      <x:c r="M3" s="103" t="str">
        <x:v>July 27</x:v>
      </x:c>
      <x:c r="N3" s="103" t="str">
        <x:v>12-mo total</x:v>
      </x:c>
      <x:c r="O3" s="103" t="str">
        <x:v>Budget/check</x:v>
      </x:c>
    </x:row>
    <x:row r="4">
      <x:c r="A4" s="90"/>
      <x:c r="B4" s="121" t="n">
        <x:v>46235</x:v>
      </x:c>
      <x:c r="C4" s="121" t="n">
        <x:v>46266</x:v>
      </x:c>
      <x:c r="D4" s="121" t="n">
        <x:v>46296</x:v>
      </x:c>
      <x:c r="E4" s="121" t="n">
        <x:v>46327</x:v>
      </x:c>
      <x:c r="F4" s="121" t="n">
        <x:v>46357</x:v>
      </x:c>
      <x:c r="G4" s="121" t="n">
        <x:v>46388</x:v>
      </x:c>
      <x:c r="H4" s="121" t="n">
        <x:v>46419</x:v>
      </x:c>
      <x:c r="I4" s="121" t="n">
        <x:v>46447</x:v>
      </x:c>
      <x:c r="J4" s="121" t="n">
        <x:v>46478</x:v>
      </x:c>
      <x:c r="K4" s="121" t="n">
        <x:v>46508</x:v>
      </x:c>
      <x:c r="L4" s="121" t="n">
        <x:v>46539</x:v>
      </x:c>
      <x:c r="M4" s="121" t="n">
        <x:v>46569</x:v>
      </x:c>
      <x:c r="N4" s="90"/>
      <x:c r="O4" s="90"/>
    </x:row>
    <x:row r="5">
      <x:c r="A5" s="90" t="str">
        <x:v>Opening cash</x:v>
      </x:c>
      <x:c r="B5" s="104" t="n">
        <x:f>'Assumptions'!$B$6</x:f>
        <x:v>0</x:v>
      </x:c>
      <x:c r="C5" s="104" t="n">
        <x:f>B26</x:f>
        <x:v>-94360</x:v>
      </x:c>
      <x:c r="D5" s="104" t="n">
        <x:f>C26</x:f>
        <x:v>-193200</x:v>
      </x:c>
      <x:c r="E5" s="104" t="n">
        <x:f>D26</x:f>
        <x:v>-305424</x:v>
      </x:c>
      <x:c r="F5" s="104" t="n">
        <x:f>E26</x:f>
        <x:v>-416976</x:v>
      </x:c>
      <x:c r="G5" s="104" t="n">
        <x:f>F26</x:f>
        <x:v>-526960</x:v>
      </x:c>
      <x:c r="H5" s="104" t="n">
        <x:f>G26</x:f>
        <x:v>-643664</x:v>
      </x:c>
      <x:c r="I5" s="104" t="n">
        <x:f>H26</x:f>
        <x:v>-756600</x:v>
      </x:c>
      <x:c r="J5" s="104" t="n">
        <x:f>I26</x:f>
        <x:v>-863640</x:v>
      </x:c>
      <x:c r="K5" s="104" t="n">
        <x:f>J26</x:f>
        <x:v>-958960</x:v>
      </x:c>
      <x:c r="L5" s="104" t="n">
        <x:f>K26</x:f>
        <x:v>-1046552</x:v>
      </x:c>
      <x:c r="M5" s="104" t="n">
        <x:f>L26</x:f>
        <x:v>-1134456</x:v>
      </x:c>
      <x:c r="N5" s="104"/>
      <x:c r="O5" s="104"/>
    </x:row>
    <x:row r="6">
      <x:c r="A6" s="90" t="str">
        <x:v>Potential evidence revenue</x:v>
      </x:c>
      <x:c r="B6" s="104" t="n">
        <x:f>CHOOSE('Assumptions'!$B$4,'Assumptions'!$B$29,'Assumptions'!$C$29,'Assumptions'!$D$29)*'Phasing'!B14</x:f>
        <x:v>0</x:v>
      </x:c>
      <x:c r="C6" s="104" t="n">
        <x:f>CHOOSE('Assumptions'!$B$4,'Assumptions'!$B$29,'Assumptions'!$C$29,'Assumptions'!$D$29)*'Phasing'!C14</x:f>
        <x:v>0</x:v>
      </x:c>
      <x:c r="D6" s="104" t="n">
        <x:f>CHOOSE('Assumptions'!$B$4,'Assumptions'!$B$29,'Assumptions'!$C$29,'Assumptions'!$D$29)*'Phasing'!D14</x:f>
        <x:v>0</x:v>
      </x:c>
      <x:c r="E6" s="104" t="n">
        <x:f>CHOOSE('Assumptions'!$B$4,'Assumptions'!$B$29,'Assumptions'!$C$29,'Assumptions'!$D$29)*'Phasing'!E14</x:f>
        <x:v>0</x:v>
      </x:c>
      <x:c r="F6" s="104" t="n">
        <x:f>CHOOSE('Assumptions'!$B$4,'Assumptions'!$B$29,'Assumptions'!$C$29,'Assumptions'!$D$29)*'Phasing'!F14</x:f>
        <x:v>0</x:v>
      </x:c>
      <x:c r="G6" s="104" t="n">
        <x:f>CHOOSE('Assumptions'!$B$4,'Assumptions'!$B$29,'Assumptions'!$C$29,'Assumptions'!$D$29)*'Phasing'!G14</x:f>
        <x:v>0</x:v>
      </x:c>
      <x:c r="H6" s="104" t="n">
        <x:f>CHOOSE('Assumptions'!$B$4,'Assumptions'!$B$29,'Assumptions'!$C$29,'Assumptions'!$D$29)*'Phasing'!H14</x:f>
        <x:v>5000</x:v>
      </x:c>
      <x:c r="I6" s="104" t="n">
        <x:f>CHOOSE('Assumptions'!$B$4,'Assumptions'!$B$29,'Assumptions'!$C$29,'Assumptions'!$D$29)*'Phasing'!I14</x:f>
        <x:v>10000</x:v>
      </x:c>
      <x:c r="J6" s="104" t="n">
        <x:f>CHOOSE('Assumptions'!$B$4,'Assumptions'!$B$29,'Assumptions'!$C$29,'Assumptions'!$D$29)*'Phasing'!J14</x:f>
        <x:v>15000</x:v>
      </x:c>
      <x:c r="K6" s="104" t="n">
        <x:f>CHOOSE('Assumptions'!$B$4,'Assumptions'!$B$29,'Assumptions'!$C$29,'Assumptions'!$D$29)*'Phasing'!K14</x:f>
        <x:v>15000</x:v>
      </x:c>
      <x:c r="L6" s="104" t="n">
        <x:f>CHOOSE('Assumptions'!$B$4,'Assumptions'!$B$29,'Assumptions'!$C$29,'Assumptions'!$D$29)*'Phasing'!L14</x:f>
        <x:v>5000</x:v>
      </x:c>
      <x:c r="M6" s="104" t="n">
        <x:f>CHOOSE('Assumptions'!$B$4,'Assumptions'!$B$29,'Assumptions'!$C$29,'Assumptions'!$D$29)*'Phasing'!M14</x:f>
        <x:v>0</x:v>
      </x:c>
      <x:c r="N6" s="104" t="n">
        <x:f>SUM(B6:M6)</x:f>
        <x:v>50000</x:v>
      </x:c>
      <x:c r="O6" s="104"/>
    </x:row>
    <x:row r="7">
      <x:c r="A7" s="90" t="str">
        <x:v>Planned financing</x:v>
      </x:c>
      <x:c r="B7" s="104" t="n">
        <x:f>'Assumptions'!B37</x:f>
        <x:v>0</x:v>
      </x:c>
      <x:c r="C7" s="104" t="n">
        <x:f>'Assumptions'!C37</x:f>
        <x:v>0</x:v>
      </x:c>
      <x:c r="D7" s="104" t="n">
        <x:f>'Assumptions'!D37</x:f>
        <x:v>0</x:v>
      </x:c>
      <x:c r="E7" s="104" t="n">
        <x:f>'Assumptions'!E37</x:f>
        <x:v>0</x:v>
      </x:c>
      <x:c r="F7" s="104" t="n">
        <x:f>'Assumptions'!F37</x:f>
        <x:v>0</x:v>
      </x:c>
      <x:c r="G7" s="104" t="n">
        <x:f>'Assumptions'!G37</x:f>
        <x:v>0</x:v>
      </x:c>
      <x:c r="H7" s="104" t="n">
        <x:f>'Assumptions'!H37</x:f>
        <x:v>0</x:v>
      </x:c>
      <x:c r="I7" s="104" t="n">
        <x:f>'Assumptions'!I37</x:f>
        <x:v>0</x:v>
      </x:c>
      <x:c r="J7" s="104" t="n">
        <x:f>'Assumptions'!J37</x:f>
        <x:v>0</x:v>
      </x:c>
      <x:c r="K7" s="104" t="n">
        <x:f>'Assumptions'!K37</x:f>
        <x:v>0</x:v>
      </x:c>
      <x:c r="L7" s="104" t="n">
        <x:f>'Assumptions'!L37</x:f>
        <x:v>0</x:v>
      </x:c>
      <x:c r="M7" s="104" t="n">
        <x:f>'Assumptions'!M37</x:f>
        <x:v>0</x:v>
      </x:c>
      <x:c r="N7" s="104" t="n">
        <x:f>SUM(B7:M7)</x:f>
        <x:v>0</x:v>
      </x:c>
      <x:c r="O7" s="104"/>
    </x:row>
    <x:row r="8">
      <x:c r="A8" s="90" t="str">
        <x:v>Cash available before costs</x:v>
      </x:c>
      <x:c r="B8" s="104" t="n">
        <x:f>SUM(B5:B7)</x:f>
        <x:v>0</x:v>
      </x:c>
      <x:c r="C8" s="104" t="n">
        <x:f>SUM(C5:C7)</x:f>
        <x:v>-94360</x:v>
      </x:c>
      <x:c r="D8" s="104" t="n">
        <x:f>SUM(D5:D7)</x:f>
        <x:v>-193200</x:v>
      </x:c>
      <x:c r="E8" s="104" t="n">
        <x:f>SUM(E5:E7)</x:f>
        <x:v>-305424</x:v>
      </x:c>
      <x:c r="F8" s="104" t="n">
        <x:f>SUM(F5:F7)</x:f>
        <x:v>-416976</x:v>
      </x:c>
      <x:c r="G8" s="104" t="n">
        <x:f>SUM(G5:G7)</x:f>
        <x:v>-526960</x:v>
      </x:c>
      <x:c r="H8" s="104" t="n">
        <x:f>SUM(H5:H7)</x:f>
        <x:v>-638664</x:v>
      </x:c>
      <x:c r="I8" s="104" t="n">
        <x:f>SUM(I5:I7)</x:f>
        <x:v>-746600</x:v>
      </x:c>
      <x:c r="J8" s="104" t="n">
        <x:f>SUM(J5:J7)</x:f>
        <x:v>-848640</x:v>
      </x:c>
      <x:c r="K8" s="104" t="n">
        <x:f>SUM(K5:K7)</x:f>
        <x:v>-943960</x:v>
      </x:c>
      <x:c r="L8" s="104" t="n">
        <x:f>SUM(L5:L7)</x:f>
        <x:v>-1041552</x:v>
      </x:c>
      <x:c r="M8" s="104" t="n">
        <x:f>SUM(M5:M7)</x:f>
        <x:v>-1134456</x:v>
      </x:c>
      <x:c r="N8" s="104"/>
      <x:c r="O8" s="104"/>
    </x:row>
    <x:row r="9">
      <x:c r="A9" s="90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</x:row>
    <x:row r="10">
      <x:c r="A10" s="122" t="str">
        <x:v>Operating expenditure</x:v>
      </x:c>
      <x:c r="B10" s="123" t="str">
        <x:v>Operating expenditure</x:v>
      </x:c>
      <x:c r="C10" s="123" t="str">
        <x:v>Operating expenditure</x:v>
      </x:c>
      <x:c r="D10" s="123" t="str">
        <x:v>Operating expenditure</x:v>
      </x:c>
      <x:c r="E10" s="123" t="str">
        <x:v>Operating expenditure</x:v>
      </x:c>
      <x:c r="F10" s="123" t="str">
        <x:v>Operating expenditure</x:v>
      </x:c>
      <x:c r="G10" s="123" t="str">
        <x:v>Operating expenditure</x:v>
      </x:c>
      <x:c r="H10" s="123" t="str">
        <x:v>Operating expenditure</x:v>
      </x:c>
      <x:c r="I10" s="123" t="str">
        <x:v>Operating expenditure</x:v>
      </x:c>
      <x:c r="J10" s="123" t="str">
        <x:v>Operating expenditure</x:v>
      </x:c>
      <x:c r="K10" s="123" t="str">
        <x:v>Operating expenditure</x:v>
      </x:c>
      <x:c r="L10" s="123" t="str">
        <x:v>Operating expenditure</x:v>
      </x:c>
      <x:c r="M10" s="123" t="str">
        <x:v>Operating expenditure</x:v>
      </x:c>
      <x:c r="N10" s="123" t="str">
        <x:v>Operating expenditure</x:v>
      </x:c>
      <x:c r="O10" s="123" t="str">
        <x:v>Operating expenditure</x:v>
      </x:c>
    </x:row>
    <x:row r="11">
      <x:c r="A11" s="90" t="str">
        <x:v>Founder / executive capacity</x:v>
      </x:c>
      <x:c r="B11" s="104" t="n">
        <x:f>CHOOSE('Assumptions'!$B$4,'Assumptions'!$B$15,'Assumptions'!$C$15,'Assumptions'!$D$15)*'Phasing'!B4</x:f>
        <x:v>10000</x:v>
      </x:c>
      <x:c r="C11" s="104" t="n">
        <x:f>CHOOSE('Assumptions'!$B$4,'Assumptions'!$B$15,'Assumptions'!$C$15,'Assumptions'!$D$15)*'Phasing'!C4</x:f>
        <x:v>10000</x:v>
      </x:c>
      <x:c r="D11" s="104" t="n">
        <x:f>CHOOSE('Assumptions'!$B$4,'Assumptions'!$B$15,'Assumptions'!$C$15,'Assumptions'!$D$15)*'Phasing'!D4</x:f>
        <x:v>10000</x:v>
      </x:c>
      <x:c r="E11" s="104" t="n">
        <x:f>CHOOSE('Assumptions'!$B$4,'Assumptions'!$B$15,'Assumptions'!$C$15,'Assumptions'!$D$15)*'Phasing'!E4</x:f>
        <x:v>10000</x:v>
      </x:c>
      <x:c r="F11" s="104" t="n">
        <x:f>CHOOSE('Assumptions'!$B$4,'Assumptions'!$B$15,'Assumptions'!$C$15,'Assumptions'!$D$15)*'Phasing'!F4</x:f>
        <x:v>10000</x:v>
      </x:c>
      <x:c r="G11" s="104" t="n">
        <x:f>CHOOSE('Assumptions'!$B$4,'Assumptions'!$B$15,'Assumptions'!$C$15,'Assumptions'!$D$15)*'Phasing'!G4</x:f>
        <x:v>10000</x:v>
      </x:c>
      <x:c r="H11" s="104" t="n">
        <x:f>CHOOSE('Assumptions'!$B$4,'Assumptions'!$B$15,'Assumptions'!$C$15,'Assumptions'!$D$15)*'Phasing'!H4</x:f>
        <x:v>10000</x:v>
      </x:c>
      <x:c r="I11" s="104" t="n">
        <x:f>CHOOSE('Assumptions'!$B$4,'Assumptions'!$B$15,'Assumptions'!$C$15,'Assumptions'!$D$15)*'Phasing'!I4</x:f>
        <x:v>10000</x:v>
      </x:c>
      <x:c r="J11" s="104" t="n">
        <x:f>CHOOSE('Assumptions'!$B$4,'Assumptions'!$B$15,'Assumptions'!$C$15,'Assumptions'!$D$15)*'Phasing'!J4</x:f>
        <x:v>10000</x:v>
      </x:c>
      <x:c r="K11" s="104" t="n">
        <x:f>CHOOSE('Assumptions'!$B$4,'Assumptions'!$B$15,'Assumptions'!$C$15,'Assumptions'!$D$15)*'Phasing'!K4</x:f>
        <x:v>10000</x:v>
      </x:c>
      <x:c r="L11" s="104" t="n">
        <x:f>CHOOSE('Assumptions'!$B$4,'Assumptions'!$B$15,'Assumptions'!$C$15,'Assumptions'!$D$15)*'Phasing'!L4</x:f>
        <x:v>10000</x:v>
      </x:c>
      <x:c r="M11" s="104" t="n">
        <x:f>CHOOSE('Assumptions'!$B$4,'Assumptions'!$B$15,'Assumptions'!$C$15,'Assumptions'!$D$15)*'Phasing'!M4</x:f>
        <x:v>10000</x:v>
      </x:c>
      <x:c r="N11" s="104" t="n">
        <x:f>SUM(B11:M11)</x:f>
        <x:v>120000</x:v>
      </x:c>
      <x:c r="O11" s="104" t="n">
        <x:f>CHOOSE('Assumptions'!$B$4,'Assumptions'!$B$15,'Assumptions'!$C$15,'Assumptions'!$D$15)</x:f>
        <x:v>120000</x:v>
      </x:c>
    </x:row>
    <x:row r="12">
      <x:c r="A12" s="90" t="str">
        <x:v>Engineering, product and integrations</x:v>
      </x:c>
      <x:c r="B12" s="104" t="n">
        <x:f>CHOOSE('Assumptions'!$B$4,'Assumptions'!$B$16,'Assumptions'!$C$16,'Assumptions'!$D$16)*'Phasing'!B5</x:f>
        <x:v>15000</x:v>
      </x:c>
      <x:c r="C12" s="104" t="n">
        <x:f>CHOOSE('Assumptions'!$B$4,'Assumptions'!$B$16,'Assumptions'!$C$16,'Assumptions'!$D$16)*'Phasing'!C5</x:f>
        <x:v>15000</x:v>
      </x:c>
      <x:c r="D12" s="104" t="n">
        <x:f>CHOOSE('Assumptions'!$B$4,'Assumptions'!$B$16,'Assumptions'!$C$16,'Assumptions'!$D$16)*'Phasing'!D5</x:f>
        <x:v>21000.000000000004</x:v>
      </x:c>
      <x:c r="E12" s="104" t="n">
        <x:f>CHOOSE('Assumptions'!$B$4,'Assumptions'!$B$16,'Assumptions'!$C$16,'Assumptions'!$D$16)*'Phasing'!E5</x:f>
        <x:v>21000.000000000004</x:v>
      </x:c>
      <x:c r="F12" s="104" t="n">
        <x:f>CHOOSE('Assumptions'!$B$4,'Assumptions'!$B$16,'Assumptions'!$C$16,'Assumptions'!$D$16)*'Phasing'!F5</x:f>
        <x:v>24000</x:v>
      </x:c>
      <x:c r="G12" s="104" t="n">
        <x:f>CHOOSE('Assumptions'!$B$4,'Assumptions'!$B$16,'Assumptions'!$C$16,'Assumptions'!$D$16)*'Phasing'!G5</x:f>
        <x:v>24000</x:v>
      </x:c>
      <x:c r="H12" s="104" t="n">
        <x:f>CHOOSE('Assumptions'!$B$4,'Assumptions'!$B$16,'Assumptions'!$C$16,'Assumptions'!$D$16)*'Phasing'!H5</x:f>
        <x:v>27000</x:v>
      </x:c>
      <x:c r="I12" s="104" t="n">
        <x:f>CHOOSE('Assumptions'!$B$4,'Assumptions'!$B$16,'Assumptions'!$C$16,'Assumptions'!$D$16)*'Phasing'!I5</x:f>
        <x:v>27000</x:v>
      </x:c>
      <x:c r="J12" s="104" t="n">
        <x:f>CHOOSE('Assumptions'!$B$4,'Assumptions'!$B$16,'Assumptions'!$C$16,'Assumptions'!$D$16)*'Phasing'!J5</x:f>
        <x:v>30000</x:v>
      </x:c>
      <x:c r="K12" s="104" t="n">
        <x:f>CHOOSE('Assumptions'!$B$4,'Assumptions'!$B$16,'Assumptions'!$C$16,'Assumptions'!$D$16)*'Phasing'!K5</x:f>
        <x:v>30000</x:v>
      </x:c>
      <x:c r="L12" s="104" t="n">
        <x:f>CHOOSE('Assumptions'!$B$4,'Assumptions'!$B$16,'Assumptions'!$C$16,'Assumptions'!$D$16)*'Phasing'!L5</x:f>
        <x:v>33000</x:v>
      </x:c>
      <x:c r="M12" s="104" t="n">
        <x:f>CHOOSE('Assumptions'!$B$4,'Assumptions'!$B$16,'Assumptions'!$C$16,'Assumptions'!$D$16)*'Phasing'!M5</x:f>
        <x:v>33000</x:v>
      </x:c>
      <x:c r="N12" s="104" t="n">
        <x:f>SUM(B12:M12)</x:f>
        <x:v>300000</x:v>
      </x:c>
      <x:c r="O12" s="104" t="n">
        <x:f>CHOOSE('Assumptions'!$B$4,'Assumptions'!$B$16,'Assumptions'!$C$16,'Assumptions'!$D$16)</x:f>
        <x:v>300000</x:v>
      </x:c>
    </x:row>
    <x:row r="13">
      <x:c r="A13" s="90" t="str">
        <x:v>Quality management and regulatory</x:v>
      </x:c>
      <x:c r="B13" s="104" t="n">
        <x:f>CHOOSE('Assumptions'!$B$4,'Assumptions'!$B$17,'Assumptions'!$C$17,'Assumptions'!$D$17)*'Phasing'!B6</x:f>
        <x:v>27000</x:v>
      </x:c>
      <x:c r="C13" s="104" t="n">
        <x:f>CHOOSE('Assumptions'!$B$4,'Assumptions'!$B$17,'Assumptions'!$C$17,'Assumptions'!$D$17)*'Phasing'!C6</x:f>
        <x:v>27000</x:v>
      </x:c>
      <x:c r="D13" s="104" t="n">
        <x:f>CHOOSE('Assumptions'!$B$4,'Assumptions'!$B$17,'Assumptions'!$C$17,'Assumptions'!$D$17)*'Phasing'!D6</x:f>
        <x:v>21600</x:v>
      </x:c>
      <x:c r="E13" s="104" t="n">
        <x:f>CHOOSE('Assumptions'!$B$4,'Assumptions'!$B$17,'Assumptions'!$C$17,'Assumptions'!$D$17)*'Phasing'!E6</x:f>
        <x:v>18000</x:v>
      </x:c>
      <x:c r="F13" s="104" t="n">
        <x:f>CHOOSE('Assumptions'!$B$4,'Assumptions'!$B$17,'Assumptions'!$C$17,'Assumptions'!$D$17)*'Phasing'!F6</x:f>
        <x:v>14400</x:v>
      </x:c>
      <x:c r="G13" s="104" t="n">
        <x:f>CHOOSE('Assumptions'!$B$4,'Assumptions'!$B$17,'Assumptions'!$C$17,'Assumptions'!$D$17)*'Phasing'!G6</x:f>
        <x:v>14400</x:v>
      </x:c>
      <x:c r="H13" s="104" t="n">
        <x:f>CHOOSE('Assumptions'!$B$4,'Assumptions'!$B$17,'Assumptions'!$C$17,'Assumptions'!$D$17)*'Phasing'!H6</x:f>
        <x:v>12600.000000000002</x:v>
      </x:c>
      <x:c r="I13" s="104" t="n">
        <x:f>CHOOSE('Assumptions'!$B$4,'Assumptions'!$B$17,'Assumptions'!$C$17,'Assumptions'!$D$17)*'Phasing'!I6</x:f>
        <x:v>12600.000000000002</x:v>
      </x:c>
      <x:c r="J13" s="104" t="n">
        <x:f>CHOOSE('Assumptions'!$B$4,'Assumptions'!$B$17,'Assumptions'!$C$17,'Assumptions'!$D$17)*'Phasing'!J6</x:f>
        <x:v>9000</x:v>
      </x:c>
      <x:c r="K13" s="104" t="n">
        <x:f>CHOOSE('Assumptions'!$B$4,'Assumptions'!$B$17,'Assumptions'!$C$17,'Assumptions'!$D$17)*'Phasing'!K6</x:f>
        <x:v>9000</x:v>
      </x:c>
      <x:c r="L13" s="104" t="n">
        <x:f>CHOOSE('Assumptions'!$B$4,'Assumptions'!$B$17,'Assumptions'!$C$17,'Assumptions'!$D$17)*'Phasing'!L6</x:f>
        <x:v>7200</x:v>
      </x:c>
      <x:c r="M13" s="104" t="n">
        <x:f>CHOOSE('Assumptions'!$B$4,'Assumptions'!$B$17,'Assumptions'!$C$17,'Assumptions'!$D$17)*'Phasing'!M6</x:f>
        <x:v>7200</x:v>
      </x:c>
      <x:c r="N13" s="104" t="n">
        <x:f>SUM(B13:M13)</x:f>
        <x:v>180000</x:v>
      </x:c>
      <x:c r="O13" s="104" t="n">
        <x:f>CHOOSE('Assumptions'!$B$4,'Assumptions'!$B$17,'Assumptions'!$C$17,'Assumptions'!$D$17)</x:f>
        <x:v>180000</x:v>
      </x:c>
    </x:row>
    <x:row r="14">
      <x:c r="A14" s="90" t="str">
        <x:v>Clinical authority, doctor and pharmacy input</x:v>
      </x:c>
      <x:c r="B14" s="104" t="n">
        <x:f>CHOOSE('Assumptions'!$B$4,'Assumptions'!$B$18,'Assumptions'!$C$18,'Assumptions'!$D$18)*'Phasing'!B7</x:f>
        <x:v>7500</x:v>
      </x:c>
      <x:c r="C14" s="104" t="n">
        <x:f>CHOOSE('Assumptions'!$B$4,'Assumptions'!$B$18,'Assumptions'!$C$18,'Assumptions'!$D$18)*'Phasing'!C7</x:f>
        <x:v>12000</x:v>
      </x:c>
      <x:c r="D14" s="104" t="n">
        <x:f>CHOOSE('Assumptions'!$B$4,'Assumptions'!$B$18,'Assumptions'!$C$18,'Assumptions'!$D$18)*'Phasing'!D7</x:f>
        <x:v>15000</x:v>
      </x:c>
      <x:c r="E14" s="104" t="n">
        <x:f>CHOOSE('Assumptions'!$B$4,'Assumptions'!$B$18,'Assumptions'!$C$18,'Assumptions'!$D$18)*'Phasing'!E7</x:f>
        <x:v>15000</x:v>
      </x:c>
      <x:c r="F14" s="104" t="n">
        <x:f>CHOOSE('Assumptions'!$B$4,'Assumptions'!$B$18,'Assumptions'!$C$18,'Assumptions'!$D$18)*'Phasing'!F7</x:f>
        <x:v>15000</x:v>
      </x:c>
      <x:c r="G14" s="104" t="n">
        <x:f>CHOOSE('Assumptions'!$B$4,'Assumptions'!$B$18,'Assumptions'!$C$18,'Assumptions'!$D$18)*'Phasing'!G7</x:f>
        <x:v>15000</x:v>
      </x:c>
      <x:c r="H14" s="104" t="n">
        <x:f>CHOOSE('Assumptions'!$B$4,'Assumptions'!$B$18,'Assumptions'!$C$18,'Assumptions'!$D$18)*'Phasing'!H7</x:f>
        <x:v>15000</x:v>
      </x:c>
      <x:c r="I14" s="104" t="n">
        <x:f>CHOOSE('Assumptions'!$B$4,'Assumptions'!$B$18,'Assumptions'!$C$18,'Assumptions'!$D$18)*'Phasing'!I7</x:f>
        <x:v>15000</x:v>
      </x:c>
      <x:c r="J14" s="104" t="n">
        <x:f>CHOOSE('Assumptions'!$B$4,'Assumptions'!$B$18,'Assumptions'!$C$18,'Assumptions'!$D$18)*'Phasing'!J7</x:f>
        <x:v>12000</x:v>
      </x:c>
      <x:c r="K14" s="104" t="n">
        <x:f>CHOOSE('Assumptions'!$B$4,'Assumptions'!$B$18,'Assumptions'!$C$18,'Assumptions'!$D$18)*'Phasing'!K7</x:f>
        <x:v>10500.000000000002</x:v>
      </x:c>
      <x:c r="L14" s="104" t="n">
        <x:f>CHOOSE('Assumptions'!$B$4,'Assumptions'!$B$18,'Assumptions'!$C$18,'Assumptions'!$D$18)*'Phasing'!L7</x:f>
        <x:v>9000</x:v>
      </x:c>
      <x:c r="M14" s="104" t="n">
        <x:f>CHOOSE('Assumptions'!$B$4,'Assumptions'!$B$18,'Assumptions'!$C$18,'Assumptions'!$D$18)*'Phasing'!M7</x:f>
        <x:v>9000</x:v>
      </x:c>
      <x:c r="N14" s="104" t="n">
        <x:f>SUM(B14:M14)</x:f>
        <x:v>150000</x:v>
      </x:c>
      <x:c r="O14" s="104" t="n">
        <x:f>CHOOSE('Assumptions'!$B$4,'Assumptions'!$B$18,'Assumptions'!$C$18,'Assumptions'!$D$18)</x:f>
        <x:v>150000</x:v>
      </x:c>
    </x:row>
    <x:row r="15">
      <x:c r="A15" s="90" t="str">
        <x:v>Evidence, human factors and statistics</x:v>
      </x:c>
      <x:c r="B15" s="104" t="n">
        <x:f>CHOOSE('Assumptions'!$B$4,'Assumptions'!$B$19,'Assumptions'!$C$19,'Assumptions'!$D$19)*'Phasing'!B8</x:f>
        <x:v>0</x:v>
      </x:c>
      <x:c r="C15" s="104" t="n">
        <x:f>CHOOSE('Assumptions'!$B$4,'Assumptions'!$B$19,'Assumptions'!$C$19,'Assumptions'!$D$19)*'Phasing'!C8</x:f>
        <x:v>0</x:v>
      </x:c>
      <x:c r="D15" s="104" t="n">
        <x:f>CHOOSE('Assumptions'!$B$4,'Assumptions'!$B$19,'Assumptions'!$C$19,'Assumptions'!$D$19)*'Phasing'!D8</x:f>
        <x:v>6000</x:v>
      </x:c>
      <x:c r="E15" s="104" t="n">
        <x:f>CHOOSE('Assumptions'!$B$4,'Assumptions'!$B$19,'Assumptions'!$C$19,'Assumptions'!$D$19)*'Phasing'!E8</x:f>
        <x:v>12000</x:v>
      </x:c>
      <x:c r="F15" s="104" t="n">
        <x:f>CHOOSE('Assumptions'!$B$4,'Assumptions'!$B$19,'Assumptions'!$C$19,'Assumptions'!$D$19)*'Phasing'!F8</x:f>
        <x:v>12000</x:v>
      </x:c>
      <x:c r="G15" s="104" t="n">
        <x:f>CHOOSE('Assumptions'!$B$4,'Assumptions'!$B$19,'Assumptions'!$C$19,'Assumptions'!$D$19)*'Phasing'!G8</x:f>
        <x:v>18000</x:v>
      </x:c>
      <x:c r="H15" s="104" t="n">
        <x:f>CHOOSE('Assumptions'!$B$4,'Assumptions'!$B$19,'Assumptions'!$C$19,'Assumptions'!$D$19)*'Phasing'!H8</x:f>
        <x:v>18000</x:v>
      </x:c>
      <x:c r="I15" s="104" t="n">
        <x:f>CHOOSE('Assumptions'!$B$4,'Assumptions'!$B$19,'Assumptions'!$C$19,'Assumptions'!$D$19)*'Phasing'!I8</x:f>
        <x:v>18000</x:v>
      </x:c>
      <x:c r="J15" s="104" t="n">
        <x:f>CHOOSE('Assumptions'!$B$4,'Assumptions'!$B$19,'Assumptions'!$C$19,'Assumptions'!$D$19)*'Phasing'!J8</x:f>
        <x:v>18000</x:v>
      </x:c>
      <x:c r="K15" s="104" t="n">
        <x:f>CHOOSE('Assumptions'!$B$4,'Assumptions'!$B$19,'Assumptions'!$C$19,'Assumptions'!$D$19)*'Phasing'!K8</x:f>
        <x:v>12000</x:v>
      </x:c>
      <x:c r="L15" s="104" t="n">
        <x:f>CHOOSE('Assumptions'!$B$4,'Assumptions'!$B$19,'Assumptions'!$C$19,'Assumptions'!$D$19)*'Phasing'!L8</x:f>
        <x:v>6000</x:v>
      </x:c>
      <x:c r="M15" s="104" t="n">
        <x:f>CHOOSE('Assumptions'!$B$4,'Assumptions'!$B$19,'Assumptions'!$C$19,'Assumptions'!$D$19)*'Phasing'!M8</x:f>
        <x:v>0</x:v>
      </x:c>
      <x:c r="N15" s="104" t="n">
        <x:f>SUM(B15:M15)</x:f>
        <x:v>120000</x:v>
      </x:c>
      <x:c r="O15" s="104" t="n">
        <x:f>CHOOSE('Assumptions'!$B$4,'Assumptions'!$B$19,'Assumptions'!$C$19,'Assumptions'!$D$19)</x:f>
        <x:v>120000</x:v>
      </x:c>
    </x:row>
    <x:row r="16">
      <x:c r="A16" s="90" t="str">
        <x:v>Legal, privacy and corporate</x:v>
      </x:c>
      <x:c r="B16" s="104" t="n">
        <x:f>CHOOSE('Assumptions'!$B$4,'Assumptions'!$B$20,'Assumptions'!$C$20,'Assumptions'!$D$20)*'Phasing'!B9</x:f>
        <x:v>14000</x:v>
      </x:c>
      <x:c r="C16" s="104" t="n">
        <x:f>CHOOSE('Assumptions'!$B$4,'Assumptions'!$B$20,'Assumptions'!$C$20,'Assumptions'!$D$20)*'Phasing'!C9</x:f>
        <x:v>10500</x:v>
      </x:c>
      <x:c r="D16" s="104" t="n">
        <x:f>CHOOSE('Assumptions'!$B$4,'Assumptions'!$B$20,'Assumptions'!$C$20,'Assumptions'!$D$20)*'Phasing'!D9</x:f>
        <x:v>7000</x:v>
      </x:c>
      <x:c r="E16" s="104" t="n">
        <x:f>CHOOSE('Assumptions'!$B$4,'Assumptions'!$B$20,'Assumptions'!$C$20,'Assumptions'!$D$20)*'Phasing'!E9</x:f>
        <x:v>7000</x:v>
      </x:c>
      <x:c r="F16" s="104" t="n">
        <x:f>CHOOSE('Assumptions'!$B$4,'Assumptions'!$B$20,'Assumptions'!$C$20,'Assumptions'!$D$20)*'Phasing'!F9</x:f>
        <x:v>5600</x:v>
      </x:c>
      <x:c r="G16" s="104" t="n">
        <x:f>CHOOSE('Assumptions'!$B$4,'Assumptions'!$B$20,'Assumptions'!$C$20,'Assumptions'!$D$20)*'Phasing'!G9</x:f>
        <x:v>5600</x:v>
      </x:c>
      <x:c r="H16" s="104" t="n">
        <x:f>CHOOSE('Assumptions'!$B$4,'Assumptions'!$B$20,'Assumptions'!$C$20,'Assumptions'!$D$20)*'Phasing'!H9</x:f>
        <x:v>4900.000000000001</x:v>
      </x:c>
      <x:c r="I16" s="104" t="n">
        <x:f>CHOOSE('Assumptions'!$B$4,'Assumptions'!$B$20,'Assumptions'!$C$20,'Assumptions'!$D$20)*'Phasing'!I9</x:f>
        <x:v>3500</x:v>
      </x:c>
      <x:c r="J16" s="104" t="n">
        <x:f>CHOOSE('Assumptions'!$B$4,'Assumptions'!$B$20,'Assumptions'!$C$20,'Assumptions'!$D$20)*'Phasing'!J9</x:f>
        <x:v>3500</x:v>
      </x:c>
      <x:c r="K16" s="104" t="n">
        <x:f>CHOOSE('Assumptions'!$B$4,'Assumptions'!$B$20,'Assumptions'!$C$20,'Assumptions'!$D$20)*'Phasing'!K9</x:f>
        <x:v>3500</x:v>
      </x:c>
      <x:c r="L16" s="104" t="n">
        <x:f>CHOOSE('Assumptions'!$B$4,'Assumptions'!$B$20,'Assumptions'!$C$20,'Assumptions'!$D$20)*'Phasing'!L9</x:f>
        <x:v>2800</x:v>
      </x:c>
      <x:c r="M16" s="104" t="n">
        <x:f>CHOOSE('Assumptions'!$B$4,'Assumptions'!$B$20,'Assumptions'!$C$20,'Assumptions'!$D$20)*'Phasing'!M9</x:f>
        <x:v>2100</x:v>
      </x:c>
      <x:c r="N16" s="104" t="n">
        <x:f>SUM(B16:M16)</x:f>
        <x:v>70000</x:v>
      </x:c>
      <x:c r="O16" s="104" t="n">
        <x:f>CHOOSE('Assumptions'!$B$4,'Assumptions'!$B$20,'Assumptions'!$C$20,'Assumptions'!$D$20)</x:f>
        <x:v>70000</x:v>
      </x:c>
    </x:row>
    <x:row r="17">
      <x:c r="A17" s="90" t="str">
        <x:v>Cloud, software, model and data services</x:v>
      </x:c>
      <x:c r="B17" s="104" t="n">
        <x:f>CHOOSE('Assumptions'!$B$4,'Assumptions'!$B$21,'Assumptions'!$C$21,'Assumptions'!$D$21)*'Phasing'!B10</x:f>
        <x:v>3000</x:v>
      </x:c>
      <x:c r="C17" s="104" t="n">
        <x:f>CHOOSE('Assumptions'!$B$4,'Assumptions'!$B$21,'Assumptions'!$C$21,'Assumptions'!$D$21)*'Phasing'!C10</x:f>
        <x:v>3000</x:v>
      </x:c>
      <x:c r="D17" s="104" t="n">
        <x:f>CHOOSE('Assumptions'!$B$4,'Assumptions'!$B$21,'Assumptions'!$C$21,'Assumptions'!$D$21)*'Phasing'!D10</x:f>
        <x:v>3600</x:v>
      </x:c>
      <x:c r="E17" s="104" t="n">
        <x:f>CHOOSE('Assumptions'!$B$4,'Assumptions'!$B$21,'Assumptions'!$C$21,'Assumptions'!$D$21)*'Phasing'!E10</x:f>
        <x:v>3600</x:v>
      </x:c>
      <x:c r="F17" s="104" t="n">
        <x:f>CHOOSE('Assumptions'!$B$4,'Assumptions'!$B$21,'Assumptions'!$C$21,'Assumptions'!$D$21)*'Phasing'!F10</x:f>
        <x:v>4200</x:v>
      </x:c>
      <x:c r="G17" s="104" t="n">
        <x:f>CHOOSE('Assumptions'!$B$4,'Assumptions'!$B$21,'Assumptions'!$C$21,'Assumptions'!$D$21)*'Phasing'!G10</x:f>
        <x:v>4200</x:v>
      </x:c>
      <x:c r="H17" s="104" t="n">
        <x:f>CHOOSE('Assumptions'!$B$4,'Assumptions'!$B$21,'Assumptions'!$C$21,'Assumptions'!$D$21)*'Phasing'!H10</x:f>
        <x:v>4800</x:v>
      </x:c>
      <x:c r="I17" s="104" t="n">
        <x:f>CHOOSE('Assumptions'!$B$4,'Assumptions'!$B$21,'Assumptions'!$C$21,'Assumptions'!$D$21)*'Phasing'!I10</x:f>
        <x:v>5400</x:v>
      </x:c>
      <x:c r="J17" s="104" t="n">
        <x:f>CHOOSE('Assumptions'!$B$4,'Assumptions'!$B$21,'Assumptions'!$C$21,'Assumptions'!$D$21)*'Phasing'!J10</x:f>
        <x:v>6000</x:v>
      </x:c>
      <x:c r="K17" s="104" t="n">
        <x:f>CHOOSE('Assumptions'!$B$4,'Assumptions'!$B$21,'Assumptions'!$C$21,'Assumptions'!$D$21)*'Phasing'!K10</x:f>
        <x:v>6600</x:v>
      </x:c>
      <x:c r="L17" s="104" t="n">
        <x:f>CHOOSE('Assumptions'!$B$4,'Assumptions'!$B$21,'Assumptions'!$C$21,'Assumptions'!$D$21)*'Phasing'!L10</x:f>
        <x:v>7200</x:v>
      </x:c>
      <x:c r="M17" s="104" t="n">
        <x:f>CHOOSE('Assumptions'!$B$4,'Assumptions'!$B$21,'Assumptions'!$C$21,'Assumptions'!$D$21)*'Phasing'!M10</x:f>
        <x:v>8400</x:v>
      </x:c>
      <x:c r="N17" s="104" t="n">
        <x:f>SUM(B17:M17)</x:f>
        <x:v>60000</x:v>
      </x:c>
      <x:c r="O17" s="104" t="n">
        <x:f>CHOOSE('Assumptions'!$B$4,'Assumptions'!$B$21,'Assumptions'!$C$21,'Assumptions'!$D$21)</x:f>
        <x:v>60000</x:v>
      </x:c>
    </x:row>
    <x:row r="18">
      <x:c r="A18" s="90" t="str">
        <x:v>Cybersecurity and insurance</x:v>
      </x:c>
      <x:c r="B18" s="104" t="n">
        <x:f>CHOOSE('Assumptions'!$B$4,'Assumptions'!$B$22,'Assumptions'!$C$22,'Assumptions'!$D$22)*'Phasing'!B11</x:f>
        <x:v>3000</x:v>
      </x:c>
      <x:c r="C18" s="104" t="n">
        <x:f>CHOOSE('Assumptions'!$B$4,'Assumptions'!$B$22,'Assumptions'!$C$22,'Assumptions'!$D$22)*'Phasing'!C11</x:f>
        <x:v>6000</x:v>
      </x:c>
      <x:c r="D18" s="104" t="n">
        <x:f>CHOOSE('Assumptions'!$B$4,'Assumptions'!$B$22,'Assumptions'!$C$22,'Assumptions'!$D$22)*'Phasing'!D11</x:f>
        <x:v>9000</x:v>
      </x:c>
      <x:c r="E18" s="104" t="n">
        <x:f>CHOOSE('Assumptions'!$B$4,'Assumptions'!$B$22,'Assumptions'!$C$22,'Assumptions'!$D$22)*'Phasing'!E11</x:f>
        <x:v>6000</x:v>
      </x:c>
      <x:c r="F18" s="104" t="n">
        <x:f>CHOOSE('Assumptions'!$B$4,'Assumptions'!$B$22,'Assumptions'!$C$22,'Assumptions'!$D$22)*'Phasing'!F11</x:f>
        <x:v>6000</x:v>
      </x:c>
      <x:c r="G18" s="104" t="n">
        <x:f>CHOOSE('Assumptions'!$B$4,'Assumptions'!$B$22,'Assumptions'!$C$22,'Assumptions'!$D$22)*'Phasing'!G11</x:f>
        <x:v>6000</x:v>
      </x:c>
      <x:c r="H18" s="104" t="n">
        <x:f>CHOOSE('Assumptions'!$B$4,'Assumptions'!$B$22,'Assumptions'!$C$22,'Assumptions'!$D$22)*'Phasing'!H11</x:f>
        <x:v>6000</x:v>
      </x:c>
      <x:c r="I18" s="104" t="n">
        <x:f>CHOOSE('Assumptions'!$B$4,'Assumptions'!$B$22,'Assumptions'!$C$22,'Assumptions'!$D$22)*'Phasing'!I11</x:f>
        <x:v>6000</x:v>
      </x:c>
      <x:c r="J18" s="104" t="n">
        <x:f>CHOOSE('Assumptions'!$B$4,'Assumptions'!$B$22,'Assumptions'!$C$22,'Assumptions'!$D$22)*'Phasing'!J11</x:f>
        <x:v>3000</x:v>
      </x:c>
      <x:c r="K18" s="104" t="n">
        <x:f>CHOOSE('Assumptions'!$B$4,'Assumptions'!$B$22,'Assumptions'!$C$22,'Assumptions'!$D$22)*'Phasing'!K11</x:f>
        <x:v>3000</x:v>
      </x:c>
      <x:c r="L18" s="104" t="n">
        <x:f>CHOOSE('Assumptions'!$B$4,'Assumptions'!$B$22,'Assumptions'!$C$22,'Assumptions'!$D$22)*'Phasing'!L11</x:f>
        <x:v>3000</x:v>
      </x:c>
      <x:c r="M18" s="104" t="n">
        <x:f>CHOOSE('Assumptions'!$B$4,'Assumptions'!$B$22,'Assumptions'!$C$22,'Assumptions'!$D$22)*'Phasing'!M11</x:f>
        <x:v>3000</x:v>
      </x:c>
      <x:c r="N18" s="104" t="n">
        <x:f>SUM(B18:M18)</x:f>
        <x:v>60000</x:v>
      </x:c>
      <x:c r="O18" s="104" t="n">
        <x:f>CHOOSE('Assumptions'!$B$4,'Assumptions'!$B$22,'Assumptions'!$C$22,'Assumptions'!$D$22)</x:f>
        <x:v>60000</x:v>
      </x:c>
    </x:row>
    <x:row r="19">
      <x:c r="A19" s="90" t="str">
        <x:v>Business development, travel and brand</x:v>
      </x:c>
      <x:c r="B19" s="104" t="n">
        <x:f>CHOOSE('Assumptions'!$B$4,'Assumptions'!$B$23,'Assumptions'!$C$23,'Assumptions'!$D$23)*'Phasing'!B12</x:f>
        <x:v>2250</x:v>
      </x:c>
      <x:c r="C19" s="104" t="n">
        <x:f>CHOOSE('Assumptions'!$B$4,'Assumptions'!$B$23,'Assumptions'!$C$23,'Assumptions'!$D$23)*'Phasing'!C12</x:f>
        <x:v>2250</x:v>
      </x:c>
      <x:c r="D19" s="104" t="n">
        <x:f>CHOOSE('Assumptions'!$B$4,'Assumptions'!$B$23,'Assumptions'!$C$23,'Assumptions'!$D$23)*'Phasing'!D12</x:f>
        <x:v>4500</x:v>
      </x:c>
      <x:c r="E19" s="104" t="n">
        <x:f>CHOOSE('Assumptions'!$B$4,'Assumptions'!$B$23,'Assumptions'!$C$23,'Assumptions'!$D$23)*'Phasing'!E12</x:f>
        <x:v>4500</x:v>
      </x:c>
      <x:c r="F19" s="104" t="n">
        <x:f>CHOOSE('Assumptions'!$B$4,'Assumptions'!$B$23,'Assumptions'!$C$23,'Assumptions'!$D$23)*'Phasing'!F12</x:f>
        <x:v>4500</x:v>
      </x:c>
      <x:c r="G19" s="104" t="n">
        <x:f>CHOOSE('Assumptions'!$B$4,'Assumptions'!$B$23,'Assumptions'!$C$23,'Assumptions'!$D$23)*'Phasing'!G12</x:f>
        <x:v>4500</x:v>
      </x:c>
      <x:c r="H19" s="104" t="n">
        <x:f>CHOOSE('Assumptions'!$B$4,'Assumptions'!$B$23,'Assumptions'!$C$23,'Assumptions'!$D$23)*'Phasing'!H12</x:f>
        <x:v>4500</x:v>
      </x:c>
      <x:c r="I19" s="104" t="n">
        <x:f>CHOOSE('Assumptions'!$B$4,'Assumptions'!$B$23,'Assumptions'!$C$23,'Assumptions'!$D$23)*'Phasing'!I12</x:f>
        <x:v>4500</x:v>
      </x:c>
      <x:c r="J19" s="104" t="n">
        <x:f>CHOOSE('Assumptions'!$B$4,'Assumptions'!$B$23,'Assumptions'!$C$23,'Assumptions'!$D$23)*'Phasing'!J12</x:f>
        <x:v>4500</x:v>
      </x:c>
      <x:c r="K19" s="104" t="n">
        <x:f>CHOOSE('Assumptions'!$B$4,'Assumptions'!$B$23,'Assumptions'!$C$23,'Assumptions'!$D$23)*'Phasing'!K12</x:f>
        <x:v>4500</x:v>
      </x:c>
      <x:c r="L19" s="104" t="n">
        <x:f>CHOOSE('Assumptions'!$B$4,'Assumptions'!$B$23,'Assumptions'!$C$23,'Assumptions'!$D$23)*'Phasing'!L12</x:f>
        <x:v>2250</x:v>
      </x:c>
      <x:c r="M19" s="104" t="n">
        <x:f>CHOOSE('Assumptions'!$B$4,'Assumptions'!$B$23,'Assumptions'!$C$23,'Assumptions'!$D$23)*'Phasing'!M12</x:f>
        <x:v>2250</x:v>
      </x:c>
      <x:c r="N19" s="104" t="n">
        <x:f>SUM(B19:M19)</x:f>
        <x:v>45000</x:v>
      </x:c>
      <x:c r="O19" s="104" t="n">
        <x:f>CHOOSE('Assumptions'!$B$4,'Assumptions'!$B$23,'Assumptions'!$C$23,'Assumptions'!$D$23)</x:f>
        <x:v>45000</x:v>
      </x:c>
    </x:row>
    <x:row r="20">
      <x:c r="A20" s="90" t="str">
        <x:v>Administration, accounting and tax</x:v>
      </x:c>
      <x:c r="B20" s="104" t="n">
        <x:f>CHOOSE('Assumptions'!$B$4,'Assumptions'!$B$24,'Assumptions'!$C$24,'Assumptions'!$D$24)*'Phasing'!B13</x:f>
        <x:v>2500</x:v>
      </x:c>
      <x:c r="C20" s="104" t="n">
        <x:f>CHOOSE('Assumptions'!$B$4,'Assumptions'!$B$24,'Assumptions'!$C$24,'Assumptions'!$D$24)*'Phasing'!C13</x:f>
        <x:v>2500</x:v>
      </x:c>
      <x:c r="D20" s="104" t="n">
        <x:f>CHOOSE('Assumptions'!$B$4,'Assumptions'!$B$24,'Assumptions'!$C$24,'Assumptions'!$D$24)*'Phasing'!D13</x:f>
        <x:v>2500</x:v>
      </x:c>
      <x:c r="E20" s="104" t="n">
        <x:f>CHOOSE('Assumptions'!$B$4,'Assumptions'!$B$24,'Assumptions'!$C$24,'Assumptions'!$D$24)*'Phasing'!E13</x:f>
        <x:v>2500</x:v>
      </x:c>
      <x:c r="F20" s="104" t="n">
        <x:f>CHOOSE('Assumptions'!$B$4,'Assumptions'!$B$24,'Assumptions'!$C$24,'Assumptions'!$D$24)*'Phasing'!F13</x:f>
        <x:v>2500</x:v>
      </x:c>
      <x:c r="G20" s="104" t="n">
        <x:f>CHOOSE('Assumptions'!$B$4,'Assumptions'!$B$24,'Assumptions'!$C$24,'Assumptions'!$D$24)*'Phasing'!G13</x:f>
        <x:v>2500</x:v>
      </x:c>
      <x:c r="H20" s="104" t="n">
        <x:f>CHOOSE('Assumptions'!$B$4,'Assumptions'!$B$24,'Assumptions'!$C$24,'Assumptions'!$D$24)*'Phasing'!H13</x:f>
        <x:v>2500</x:v>
      </x:c>
      <x:c r="I20" s="104" t="n">
        <x:f>CHOOSE('Assumptions'!$B$4,'Assumptions'!$B$24,'Assumptions'!$C$24,'Assumptions'!$D$24)*'Phasing'!I13</x:f>
        <x:v>2500</x:v>
      </x:c>
      <x:c r="J20" s="104" t="n">
        <x:f>CHOOSE('Assumptions'!$B$4,'Assumptions'!$B$24,'Assumptions'!$C$24,'Assumptions'!$D$24)*'Phasing'!J13</x:f>
        <x:v>2500</x:v>
      </x:c>
      <x:c r="K20" s="104" t="n">
        <x:f>CHOOSE('Assumptions'!$B$4,'Assumptions'!$B$24,'Assumptions'!$C$24,'Assumptions'!$D$24)*'Phasing'!K13</x:f>
        <x:v>2500</x:v>
      </x:c>
      <x:c r="L20" s="104" t="n">
        <x:f>CHOOSE('Assumptions'!$B$4,'Assumptions'!$B$24,'Assumptions'!$C$24,'Assumptions'!$D$24)*'Phasing'!L13</x:f>
        <x:v>2500</x:v>
      </x:c>
      <x:c r="M20" s="104" t="n">
        <x:f>CHOOSE('Assumptions'!$B$4,'Assumptions'!$B$24,'Assumptions'!$C$24,'Assumptions'!$D$24)*'Phasing'!M13</x:f>
        <x:v>2500</x:v>
      </x:c>
      <x:c r="N20" s="104" t="n">
        <x:f>SUM(B20:M20)</x:f>
        <x:v>30000</x:v>
      </x:c>
      <x:c r="O20" s="104" t="n">
        <x:f>CHOOSE('Assumptions'!$B$4,'Assumptions'!$B$24,'Assumptions'!$C$24,'Assumptions'!$D$24)</x:f>
        <x:v>30000</x:v>
      </x:c>
    </x:row>
    <x:row r="21">
      <x:c r="A21" s="90" t="str">
        <x:v>Opening liabilities / commitments</x:v>
      </x:c>
      <x:c r="B21" s="104" t="n">
        <x:f>'Assumptions'!$B$7</x:f>
        <x:v>0</x:v>
      </x:c>
      <x:c r="C21" s="104" t="n">
        <x:v>0</x:v>
      </x:c>
      <x:c r="D21" s="104" t="n">
        <x:v>0</x:v>
      </x:c>
      <x:c r="E21" s="104" t="n">
        <x:v>0</x:v>
      </x:c>
      <x:c r="F21" s="104" t="n">
        <x:v>0</x:v>
      </x:c>
      <x:c r="G21" s="104" t="n">
        <x:v>0</x:v>
      </x:c>
      <x:c r="H21" s="104" t="n">
        <x:v>0</x:v>
      </x:c>
      <x:c r="I21" s="104" t="n">
        <x:v>0</x:v>
      </x:c>
      <x:c r="J21" s="104" t="n">
        <x:v>0</x:v>
      </x:c>
      <x:c r="K21" s="104" t="n">
        <x:v>0</x:v>
      </x:c>
      <x:c r="L21" s="104" t="n">
        <x:v>0</x:v>
      </x:c>
      <x:c r="M21" s="104" t="n">
        <x:v>0</x:v>
      </x:c>
      <x:c r="N21" s="104" t="n">
        <x:f>SUM(B21:M21)</x:f>
        <x:v>0</x:v>
      </x:c>
      <x:c r="O21" s="104" t="n">
        <x:f>'Assumptions'!$B$7</x:f>
        <x:v>0</x:v>
      </x:c>
    </x:row>
    <x:row r="22">
      <x:c r="A22" s="90" t="str">
        <x:v>Subtotal before contingency</x:v>
      </x:c>
      <x:c r="B22" s="104" t="n">
        <x:f>SUM(B11:B20)</x:f>
        <x:v>84250</x:v>
      </x:c>
      <x:c r="C22" s="104" t="n">
        <x:f>SUM(C11:C20)</x:f>
        <x:v>88250</x:v>
      </x:c>
      <x:c r="D22" s="104" t="n">
        <x:f>SUM(D11:D20)</x:f>
        <x:v>100200</x:v>
      </x:c>
      <x:c r="E22" s="104" t="n">
        <x:f>SUM(E11:E20)</x:f>
        <x:v>99600</x:v>
      </x:c>
      <x:c r="F22" s="104" t="n">
        <x:f>SUM(F11:F20)</x:f>
        <x:v>98200</x:v>
      </x:c>
      <x:c r="G22" s="104" t="n">
        <x:f>SUM(G11:G20)</x:f>
        <x:v>104200</x:v>
      </x:c>
      <x:c r="H22" s="104" t="n">
        <x:f>SUM(H11:H20)</x:f>
        <x:v>105300</x:v>
      </x:c>
      <x:c r="I22" s="104" t="n">
        <x:f>SUM(I11:I20)</x:f>
        <x:v>104500</x:v>
      </x:c>
      <x:c r="J22" s="104" t="n">
        <x:f>SUM(J11:J20)</x:f>
        <x:v>98500</x:v>
      </x:c>
      <x:c r="K22" s="104" t="n">
        <x:f>SUM(K11:K20)</x:f>
        <x:v>91600</x:v>
      </x:c>
      <x:c r="L22" s="104" t="n">
        <x:f>SUM(L11:L20)</x:f>
        <x:v>82950</x:v>
      </x:c>
      <x:c r="M22" s="104" t="n">
        <x:f>SUM(M11:M20)</x:f>
        <x:v>77450</x:v>
      </x:c>
      <x:c r="N22" s="104" t="n">
        <x:f>SUM(B22:M22)</x:f>
        <x:v>1135000</x:v>
      </x:c>
      <x:c r="O22" s="104" t="n">
        <x:f>CHOOSE('Assumptions'!$B$4,'Assumptions'!$B$25,'Assumptions'!$C$25,'Assumptions'!$D$25)</x:f>
        <x:v>1135000</x:v>
      </x:c>
    </x:row>
    <x:row r="23">
      <x:c r="A23" s="90" t="str">
        <x:v>Contingency</x:v>
      </x:c>
      <x:c r="B23" s="104" t="n">
        <x:f>B22*CHOOSE('Assumptions'!$B$4,'Assumptions'!$B$26,'Assumptions'!$C$26,'Assumptions'!$D$26)</x:f>
        <x:v>10110</x:v>
      </x:c>
      <x:c r="C23" s="104" t="n">
        <x:f>C22*CHOOSE('Assumptions'!$B$4,'Assumptions'!$B$26,'Assumptions'!$C$26,'Assumptions'!$D$26)</x:f>
        <x:v>10590</x:v>
      </x:c>
      <x:c r="D23" s="104" t="n">
        <x:f>D22*CHOOSE('Assumptions'!$B$4,'Assumptions'!$B$26,'Assumptions'!$C$26,'Assumptions'!$D$26)</x:f>
        <x:v>12024</x:v>
      </x:c>
      <x:c r="E23" s="104" t="n">
        <x:f>E22*CHOOSE('Assumptions'!$B$4,'Assumptions'!$B$26,'Assumptions'!$C$26,'Assumptions'!$D$26)</x:f>
        <x:v>11952</x:v>
      </x:c>
      <x:c r="F23" s="104" t="n">
        <x:f>F22*CHOOSE('Assumptions'!$B$4,'Assumptions'!$B$26,'Assumptions'!$C$26,'Assumptions'!$D$26)</x:f>
        <x:v>11784</x:v>
      </x:c>
      <x:c r="G23" s="104" t="n">
        <x:f>G22*CHOOSE('Assumptions'!$B$4,'Assumptions'!$B$26,'Assumptions'!$C$26,'Assumptions'!$D$26)</x:f>
        <x:v>12504</x:v>
      </x:c>
      <x:c r="H23" s="104" t="n">
        <x:f>H22*CHOOSE('Assumptions'!$B$4,'Assumptions'!$B$26,'Assumptions'!$C$26,'Assumptions'!$D$26)</x:f>
        <x:v>12636</x:v>
      </x:c>
      <x:c r="I23" s="104" t="n">
        <x:f>I22*CHOOSE('Assumptions'!$B$4,'Assumptions'!$B$26,'Assumptions'!$C$26,'Assumptions'!$D$26)</x:f>
        <x:v>12540</x:v>
      </x:c>
      <x:c r="J23" s="104" t="n">
        <x:f>J22*CHOOSE('Assumptions'!$B$4,'Assumptions'!$B$26,'Assumptions'!$C$26,'Assumptions'!$D$26)</x:f>
        <x:v>11820</x:v>
      </x:c>
      <x:c r="K23" s="104" t="n">
        <x:f>K22*CHOOSE('Assumptions'!$B$4,'Assumptions'!$B$26,'Assumptions'!$C$26,'Assumptions'!$D$26)</x:f>
        <x:v>10992</x:v>
      </x:c>
      <x:c r="L23" s="104" t="n">
        <x:f>L22*CHOOSE('Assumptions'!$B$4,'Assumptions'!$B$26,'Assumptions'!$C$26,'Assumptions'!$D$26)</x:f>
        <x:v>9954</x:v>
      </x:c>
      <x:c r="M23" s="104" t="n">
        <x:f>M22*CHOOSE('Assumptions'!$B$4,'Assumptions'!$B$26,'Assumptions'!$C$26,'Assumptions'!$D$26)</x:f>
        <x:v>9294</x:v>
      </x:c>
      <x:c r="N23" s="104" t="n">
        <x:f>SUM(B23:M23)</x:f>
        <x:v>136200</x:v>
      </x:c>
      <x:c r="O23" s="104" t="n">
        <x:f>CHOOSE('Assumptions'!$B$4,'Assumptions'!$B$27,'Assumptions'!$C$27,'Assumptions'!$D$27)</x:f>
        <x:v>136200</x:v>
      </x:c>
    </x:row>
    <x:row r="24">
      <x:c r="A24" s="116" t="str">
        <x:v>Gross cash spend</x:v>
      </x:c>
      <x:c r="B24" s="117" t="n">
        <x:f>SUM(B21:B23)</x:f>
        <x:v>94360</x:v>
      </x:c>
      <x:c r="C24" s="117" t="n">
        <x:f>SUM(C21:C23)</x:f>
        <x:v>98840</x:v>
      </x:c>
      <x:c r="D24" s="117" t="n">
        <x:f>SUM(D21:D23)</x:f>
        <x:v>112224</x:v>
      </x:c>
      <x:c r="E24" s="117" t="n">
        <x:f>SUM(E21:E23)</x:f>
        <x:v>111552</x:v>
      </x:c>
      <x:c r="F24" s="117" t="n">
        <x:f>SUM(F21:F23)</x:f>
        <x:v>109984</x:v>
      </x:c>
      <x:c r="G24" s="117" t="n">
        <x:f>SUM(G21:G23)</x:f>
        <x:v>116704</x:v>
      </x:c>
      <x:c r="H24" s="117" t="n">
        <x:f>SUM(H21:H23)</x:f>
        <x:v>117936</x:v>
      </x:c>
      <x:c r="I24" s="117" t="n">
        <x:f>SUM(I21:I23)</x:f>
        <x:v>117040</x:v>
      </x:c>
      <x:c r="J24" s="117" t="n">
        <x:f>SUM(J21:J23)</x:f>
        <x:v>110320</x:v>
      </x:c>
      <x:c r="K24" s="117" t="n">
        <x:f>SUM(K21:K23)</x:f>
        <x:v>102592</x:v>
      </x:c>
      <x:c r="L24" s="117" t="n">
        <x:f>SUM(L21:L23)</x:f>
        <x:v>92904</x:v>
      </x:c>
      <x:c r="M24" s="117" t="n">
        <x:f>SUM(M21:M23)</x:f>
        <x:v>86744</x:v>
      </x:c>
      <x:c r="N24" s="117" t="n">
        <x:f>SUM(B24:M24)</x:f>
        <x:v>1271200</x:v>
      </x:c>
      <x:c r="O24" s="117" t="n">
        <x:f>SUM(O21:O23)</x:f>
        <x:v>1271200</x:v>
      </x:c>
    </x:row>
    <x:row r="25">
      <x:c r="A25" s="90" t="str">
        <x:v>Net cash flow</x:v>
      </x:c>
      <x:c r="B25" s="104" t="n">
        <x:f>SUM(B6:B7)-B24</x:f>
        <x:v>-94360</x:v>
      </x:c>
      <x:c r="C25" s="104" t="n">
        <x:f>SUM(C6:C7)-C24</x:f>
        <x:v>-98840</x:v>
      </x:c>
      <x:c r="D25" s="104" t="n">
        <x:f>SUM(D6:D7)-D24</x:f>
        <x:v>-112224</x:v>
      </x:c>
      <x:c r="E25" s="104" t="n">
        <x:f>SUM(E6:E7)-E24</x:f>
        <x:v>-111552</x:v>
      </x:c>
      <x:c r="F25" s="104" t="n">
        <x:f>SUM(F6:F7)-F24</x:f>
        <x:v>-109984</x:v>
      </x:c>
      <x:c r="G25" s="104" t="n">
        <x:f>SUM(G6:G7)-G24</x:f>
        <x:v>-116704</x:v>
      </x:c>
      <x:c r="H25" s="104" t="n">
        <x:f>SUM(H6:H7)-H24</x:f>
        <x:v>-112936</x:v>
      </x:c>
      <x:c r="I25" s="104" t="n">
        <x:f>SUM(I6:I7)-I24</x:f>
        <x:v>-107040</x:v>
      </x:c>
      <x:c r="J25" s="104" t="n">
        <x:f>SUM(J6:J7)-J24</x:f>
        <x:v>-95320</x:v>
      </x:c>
      <x:c r="K25" s="104" t="n">
        <x:f>SUM(K6:K7)-K24</x:f>
        <x:v>-87592</x:v>
      </x:c>
      <x:c r="L25" s="104" t="n">
        <x:f>SUM(L6:L7)-L24</x:f>
        <x:v>-87904</x:v>
      </x:c>
      <x:c r="M25" s="104" t="n">
        <x:f>SUM(M6:M7)-M24</x:f>
        <x:v>-86744</x:v>
      </x:c>
      <x:c r="N25" s="104" t="n">
        <x:f>SUM(B25:M25)</x:f>
        <x:v>-1221200</x:v>
      </x:c>
      <x:c r="O25" s="104"/>
    </x:row>
    <x:row r="26">
      <x:c r="A26" s="124" t="str">
        <x:v>Closing cash</x:v>
      </x:c>
      <x:c r="B26" s="124" t="n">
        <x:f>B5+B25</x:f>
        <x:v>-94360</x:v>
      </x:c>
      <x:c r="C26" s="124" t="n">
        <x:f>C5+C25</x:f>
        <x:v>-193200</x:v>
      </x:c>
      <x:c r="D26" s="124" t="n">
        <x:f>D5+D25</x:f>
        <x:v>-305424</x:v>
      </x:c>
      <x:c r="E26" s="124" t="n">
        <x:f>E5+E25</x:f>
        <x:v>-416976</x:v>
      </x:c>
      <x:c r="F26" s="124" t="n">
        <x:f>F5+F25</x:f>
        <x:v>-526960</x:v>
      </x:c>
      <x:c r="G26" s="124" t="n">
        <x:f>G5+G25</x:f>
        <x:v>-643664</x:v>
      </x:c>
      <x:c r="H26" s="124" t="n">
        <x:f>H5+H25</x:f>
        <x:v>-756600</x:v>
      </x:c>
      <x:c r="I26" s="124" t="n">
        <x:f>I5+I25</x:f>
        <x:v>-863640</x:v>
      </x:c>
      <x:c r="J26" s="124" t="n">
        <x:f>J5+J25</x:f>
        <x:v>-958960</x:v>
      </x:c>
      <x:c r="K26" s="124" t="n">
        <x:f>K5+K25</x:f>
        <x:v>-1046552</x:v>
      </x:c>
      <x:c r="L26" s="124" t="n">
        <x:f>L5+L25</x:f>
        <x:v>-1134456</x:v>
      </x:c>
      <x:c r="M26" s="124" t="n">
        <x:f>M5+M25</x:f>
        <x:v>-1221200</x:v>
      </x:c>
      <x:c r="N26" s="124" t="n">
        <x:f>M26</x:f>
        <x:v>-1221200</x:v>
      </x:c>
      <x:c r="O26" s="124"/>
    </x:row>
  </x:sheetData>
  <x:mergeCells>
    <x:mergeCell ref="A1:O1"/>
    <x:mergeCell ref="A2:O2"/>
    <x:mergeCell ref="A10:O10"/>
  </x:mergeCells>
  <x:conditionalFormatting sqref="B26:M2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4" hidden="0" customWidth="1"/>
    <x:col min="4" max="4" width="52" hidden="0" customWidth="1"/>
    <x:col min="5" max="5" width="28" hidden="0" customWidth="1"/>
    <x:col min="6" max="6" width="25" hidden="0" customWidth="1"/>
    <x:col min="7" max="7" width="25" hidden="0" customWidth="1"/>
  </x:cols>
  <x:sheetData>
    <x:row r="1" ht="30" customHeight="1">
      <x:c r="A1" s="88" t="str">
        <x:v>12-Month Milestone and Gate Plan</x:v>
      </x:c>
      <x:c r="B1" s="88" t="str">
        <x:v>12-Month Milestone and Gate Plan</x:v>
      </x:c>
      <x:c r="C1" s="88" t="str">
        <x:v>12-Month Milestone and Gate Plan</x:v>
      </x:c>
      <x:c r="D1" s="88" t="str">
        <x:v>12-Month Milestone and Gate Plan</x:v>
      </x:c>
      <x:c r="E1" s="88" t="str">
        <x:v>12-Month Milestone and Gate Plan</x:v>
      </x:c>
      <x:c r="F1" s="88" t="str">
        <x:v>12-Month Milestone and Gate Plan</x:v>
      </x:c>
      <x:c r="G1" s="88" t="str">
        <x:v>12-Month Milestone and Gate Plan</x:v>
      </x:c>
    </x:row>
    <x:row r="2">
      <x:c r="A2" s="90"/>
      <x:c r="B2" s="90"/>
      <x:c r="C2" s="90"/>
      <x:c r="D2" s="90"/>
      <x:c r="E2" s="90"/>
      <x:c r="F2" s="90"/>
      <x:c r="G2" s="90"/>
    </x:row>
    <x:row r="3">
      <x:c r="A3" s="103" t="str">
        <x:v>Month</x:v>
      </x:c>
      <x:c r="B3" s="103" t="str">
        <x:v>Workstream</x:v>
      </x:c>
      <x:c r="C3" s="103" t="str">
        <x:v>Milestone</x:v>
      </x:c>
      <x:c r="D3" s="103" t="str">
        <x:v>Required exit evidence</x:v>
      </x:c>
      <x:c r="E3" s="103" t="str">
        <x:v>Accountable owner</x:v>
      </x:c>
      <x:c r="F3" s="103" t="str">
        <x:v>Budget emphasis</x:v>
      </x:c>
      <x:c r="G3" s="103" t="str">
        <x:v>Gate</x:v>
      </x:c>
    </x:row>
    <x:row r="4">
      <x:c r="A4" s="105" t="str">
        <x:v>Aug 2026</x:v>
      </x:c>
      <x:c r="B4" s="105" t="str">
        <x:v>Control baseline</x:v>
      </x:c>
      <x:c r="C4" s="105" t="str">
        <x:v>Verify cash, liabilities, capacity and current build baseline</x:v>
      </x:c>
      <x:c r="D4" s="105" t="str">
        <x:v>Signed finance inputs; fresh build/gap reconciliation</x:v>
      </x:c>
      <x:c r="E4" s="105" t="str">
        <x:v>Founder / Finance / Engineering</x:v>
      </x:c>
      <x:c r="F4" s="105" t="str">
        <x:v>Founder; finance; engineering</x:v>
      </x:c>
      <x:c r="G4" s="125" t="str">
        <x:v>G0 — finance truth</x:v>
      </x:c>
    </x:row>
    <x:row r="5">
      <x:c r="A5" s="105" t="str">
        <x:v>Sep 2026</x:v>
      </x:c>
      <x:c r="B5" s="105" t="str">
        <x:v>Regulatory and authority</x:v>
      </x:c>
      <x:c r="C5" s="105" t="str">
        <x:v>Freeze intended purposes; commission counsel; begin authority appointments</x:v>
      </x:c>
      <x:c r="D5" s="105" t="str">
        <x:v>Counsel instruction accepted; role descriptions; candidate diligence</x:v>
      </x:c>
      <x:c r="E5" s="105" t="str">
        <x:v>Founder / Regulatory / Board</x:v>
      </x:c>
      <x:c r="F5" s="105" t="str">
        <x:v>QMS/regulatory; clinical</x:v>
      </x:c>
      <x:c r="G5" s="125" t="str">
        <x:v>G1 — authority path</x:v>
      </x:c>
    </x:row>
    <x:row r="6">
      <x:c r="A6" s="105" t="str">
        <x:v>Oct 2026</x:v>
      </x:c>
      <x:c r="B6" s="105" t="str">
        <x:v>QMS and design controls</x:v>
      </x:c>
      <x:c r="C6" s="105" t="str">
        <x:v>Approve QMS gap assessment and controlled design plan</x:v>
      </x:c>
      <x:c r="D6" s="105" t="str">
        <x:v>QMS roadmap, design plan, risk-management framework and owners</x:v>
      </x:c>
      <x:c r="E6" s="105" t="str">
        <x:v>Quality / Regulatory / Engineering</x:v>
      </x:c>
      <x:c r="F6" s="105" t="str">
        <x:v>QMS/regulatory; engineering</x:v>
      </x:c>
      <x:c r="G6" s="125" t="str">
        <x:v>G1</x:v>
      </x:c>
    </x:row>
    <x:row r="7">
      <x:c r="A7" s="105" t="str">
        <x:v>Nov 2026</x:v>
      </x:c>
      <x:c r="B7" s="105" t="str">
        <x:v>Design-partner discovery</x:v>
      </x:c>
      <x:c r="C7" s="105" t="str">
        <x:v>Complete Pharmacy 777 synthetic discovery if authorised</x:v>
      </x:c>
      <x:c r="D7" s="105" t="str">
        <x:v>Authority map, system/non-duplication map, user evidence and go/no-go</x:v>
      </x:c>
      <x:c r="E7" s="105" t="str">
        <x:v>Founder / Growth / Clinical</x:v>
      </x:c>
      <x:c r="F7" s="105" t="str">
        <x:v>BD; clinical; legal</x:v>
      </x:c>
      <x:c r="G7" s="125" t="str">
        <x:v>G2 — partner fit</x:v>
      </x:c>
    </x:row>
    <x:row r="8">
      <x:c r="A8" s="105" t="str">
        <x:v>Dec 2026</x:v>
      </x:c>
      <x:c r="B8" s="105" t="str">
        <x:v>Evidence design</x:v>
      </x:c>
      <x:c r="C8" s="105" t="str">
        <x:v>Freeze narrow evidence question and protocol</x:v>
      </x:c>
      <x:c r="D8" s="105" t="str">
        <x:v>Approved endpoints, human factors, data and statistical plan</x:v>
      </x:c>
      <x:c r="E8" s="105" t="str">
        <x:v>Clinical safety / Evidence / Quality</x:v>
      </x:c>
      <x:c r="F8" s="105" t="str">
        <x:v>Evidence; clinical; legal</x:v>
      </x:c>
      <x:c r="G8" s="125" t="str">
        <x:v>G3 — protocol</x:v>
      </x:c>
    </x:row>
    <x:row r="9">
      <x:c r="A9" s="105" t="str">
        <x:v>Jan 2027</x:v>
      </x:c>
      <x:c r="B9" s="105" t="str">
        <x:v>Product assurance</x:v>
      </x:c>
      <x:c r="C9" s="105" t="str">
        <x:v>Close priority synthetic verification and integration gaps</x:v>
      </x:c>
      <x:c r="D9" s="105" t="str">
        <x:v>Blocking test results, provenance and change-impact evidence</x:v>
      </x:c>
      <x:c r="E9" s="105" t="str">
        <x:v>Engineering / Quality / Clinical safety</x:v>
      </x:c>
      <x:c r="F9" s="105" t="str">
        <x:v>Engineering; cloud; cyber</x:v>
      </x:c>
      <x:c r="G9" s="125" t="str">
        <x:v>G3</x:v>
      </x:c>
    </x:row>
    <x:row r="10">
      <x:c r="A10" s="105" t="str">
        <x:v>Feb 2027</x:v>
      </x:c>
      <x:c r="B10" s="105" t="str">
        <x:v>Commercial conversion</x:v>
      </x:c>
      <x:c r="C10" s="105" t="str">
        <x:v>Negotiate separately priced evidence phase</x:v>
      </x:c>
      <x:c r="D10" s="105" t="str">
        <x:v>Non-exclusive SOW, data schedule, costs and success criteria</x:v>
      </x:c>
      <x:c r="E10" s="105" t="str">
        <x:v>Founder / Legal / Finance</x:v>
      </x:c>
      <x:c r="F10" s="105" t="str">
        <x:v>Legal; BD; finance</x:v>
      </x:c>
      <x:c r="G10" s="125" t="str">
        <x:v>G3</x:v>
      </x:c>
    </x:row>
    <x:row r="11">
      <x:c r="A11" s="105" t="str">
        <x:v>Mar 2027</x:v>
      </x:c>
      <x:c r="B11" s="105" t="str">
        <x:v>Evidence readiness</x:v>
      </x:c>
      <x:c r="C11" s="105" t="str">
        <x:v>Independent readiness review</x:v>
      </x:c>
      <x:c r="D11" s="105" t="str">
        <x:v>Authority appointments, protocol, privacy, security, regulatory and release gates current</x:v>
      </x:c>
      <x:c r="E11" s="105" t="str">
        <x:v>Committee / Quality / Regulatory</x:v>
      </x:c>
      <x:c r="F11" s="105" t="str">
        <x:v>Clinical; QMS; cyber</x:v>
      </x:c>
      <x:c r="G11" s="125" t="str">
        <x:v>G4 — live evidence eligibility</x:v>
      </x:c>
    </x:row>
    <x:row r="12">
      <x:c r="A12" s="105" t="str">
        <x:v>Apr 2027</x:v>
      </x:c>
      <x:c r="B12" s="105" t="str">
        <x:v>Governed evidence</x:v>
      </x:c>
      <x:c r="C12" s="105" t="str">
        <x:v>Run only the evidence activity authorised at G4</x:v>
      </x:c>
      <x:c r="D12" s="105" t="str">
        <x:v>Protocol adherence, incident controls and traceable results</x:v>
      </x:c>
      <x:c r="E12" s="105" t="str">
        <x:v>Clinical investigator / Quality</x:v>
      </x:c>
      <x:c r="F12" s="105" t="str">
        <x:v>Evidence; clinical; engineering</x:v>
      </x:c>
      <x:c r="G12" s="125" t="str">
        <x:v>Conditional G4</x:v>
      </x:c>
    </x:row>
    <x:row r="13">
      <x:c r="A13" s="105" t="str">
        <x:v>May 2027</x:v>
      </x:c>
      <x:c r="B13" s="105" t="str">
        <x:v>Review and CAPA</x:v>
      </x:c>
      <x:c r="C13" s="105" t="str">
        <x:v>Analyse evidence; close findings without overstating conclusions</x:v>
      </x:c>
      <x:c r="D13" s="105" t="str">
        <x:v>Signed report, CAPA/change decisions and claims review</x:v>
      </x:c>
      <x:c r="E13" s="105" t="str">
        <x:v>Evidence / Clinical safety / Quality</x:v>
      </x:c>
      <x:c r="F13" s="105" t="str">
        <x:v>Evidence; QMS</x:v>
      </x:c>
      <x:c r="G13" s="125" t="str">
        <x:v>G5 — evidence conclusion</x:v>
      </x:c>
    </x:row>
    <x:row r="14">
      <x:c r="A14" s="105" t="str">
        <x:v>Jun 2027</x:v>
      </x:c>
      <x:c r="B14" s="105" t="str">
        <x:v>Enterprise readiness</x:v>
      </x:c>
      <x:c r="C14" s="105" t="str">
        <x:v>Test paid model, implementation economics and second-account pipeline</x:v>
      </x:c>
      <x:c r="D14" s="105" t="str">
        <x:v>Buyer price evidence, COGS, deployment plan and non-exclusive pipeline</x:v>
      </x:c>
      <x:c r="E14" s="105" t="str">
        <x:v>Founder / Finance / Growth</x:v>
      </x:c>
      <x:c r="F14" s="105" t="str">
        <x:v>BD; finance; engineering</x:v>
      </x:c>
      <x:c r="G14" s="125" t="str">
        <x:v>G5</x:v>
      </x:c>
    </x:row>
    <x:row r="15">
      <x:c r="A15" s="105" t="str">
        <x:v>Jul 2027</x:v>
      </x:c>
      <x:c r="B15" s="105" t="str">
        <x:v>Board/founder gate</x:v>
      </x:c>
      <x:c r="C15" s="105" t="str">
        <x:v>Approve next 12-month plan and funding action</x:v>
      </x:c>
      <x:c r="D15" s="105" t="str">
        <x:v>Runway, risk, regulatory, evidence and commercial gate pack</x:v>
      </x:c>
      <x:c r="E15" s="105" t="str">
        <x:v>Founder / Board / Committee</x:v>
      </x:c>
      <x:c r="F15" s="105" t="str">
        <x:v>All</x:v>
      </x:c>
      <x:c r="G15" s="125" t="str">
        <x:v>G6 — continue/pivot/stop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30" hidden="0" customWidth="1"/>
  </x:cols>
  <x:sheetData>
    <x:row r="1" ht="30" customHeight="1">
      <x:c r="A1" s="88" t="str">
        <x:v>Model Checks and Limitations</x:v>
      </x:c>
      <x:c r="B1" s="88" t="str">
        <x:v>Model Checks and Limitations</x:v>
      </x:c>
      <x:c r="C1" s="88" t="str">
        <x:v>Model Checks and Limitations</x:v>
      </x:c>
      <x:c r="D1" s="88" t="str">
        <x:v>Model Checks and Limitations</x:v>
      </x:c>
      <x:c r="E1" s="88" t="str">
        <x:v>Model Checks and Limitations</x:v>
      </x:c>
      <x:c r="F1" s="88" t="str">
        <x:v>Model Checks and Limitations</x:v>
      </x:c>
      <x:c r="G1" s="88" t="str">
        <x:v>Model Checks and Limitations</x:v>
      </x:c>
    </x:row>
    <x:row r="2">
      <x:c r="A2" s="90"/>
      <x:c r="B2" s="90"/>
      <x:c r="C2" s="90"/>
      <x:c r="D2" s="90"/>
      <x:c r="E2" s="90"/>
      <x:c r="F2" s="90"/>
      <x:c r="G2" s="90"/>
    </x:row>
    <x:row r="3">
      <x:c r="A3" s="103" t="str">
        <x:v>Check</x:v>
      </x:c>
      <x:c r="B3" s="103" t="str">
        <x:v>Actual</x:v>
      </x:c>
      <x:c r="C3" s="103" t="str">
        <x:v>Expected</x:v>
      </x:c>
      <x:c r="D3" s="103" t="str">
        <x:v>Difference</x:v>
      </x:c>
      <x:c r="E3" s="103" t="str">
        <x:v>Tolerance</x:v>
      </x:c>
      <x:c r="F3" s="103" t="str">
        <x:v>Status</x:v>
      </x:c>
      <x:c r="G3" s="103" t="str">
        <x:v>Where to fix / note</x:v>
      </x:c>
    </x:row>
    <x:row r="4">
      <x:c r="A4" s="90" t="str">
        <x:v>Scenario selector valid</x:v>
      </x:c>
      <x:c r="B4" s="126" t="n">
        <x:f>'Assumptions'!B4</x:f>
        <x:v>2</x:v>
      </x:c>
      <x:c r="C4" s="126" t="n">
        <x:f>2</x:f>
        <x:v>2</x:v>
      </x:c>
      <x:c r="D4" s="126" t="n">
        <x:f>B4-C4</x:f>
        <x:v>0</x:v>
      </x:c>
      <x:c r="E4" s="126" t="n">
        <x:f>1</x:f>
        <x:v>1</x:v>
      </x:c>
      <x:c r="F4" s="90" t="str">
        <x:f>IF(AND(B4&gt;=1,B4&lt;=3),"OK","FAIL")</x:f>
        <x:v>OK</x:v>
      </x:c>
      <x:c r="G4" s="90" t="str">
        <x:v>Assumptions!B4</x:v>
      </x:c>
    </x:row>
    <x:row r="5">
      <x:c r="A5" s="90" t="str">
        <x:v>All phasing rows total 100%</x:v>
      </x:c>
      <x:c r="B5" s="126" t="n">
        <x:f>MAX('Phasing'!N4:N14)</x:f>
        <x:v>1.0000000000000002</x:v>
      </x:c>
      <x:c r="C5" s="126" t="n">
        <x:f>1</x:f>
        <x:v>1</x:v>
      </x:c>
      <x:c r="D5" s="126" t="n">
        <x:f>MAX(ABS('Phasing'!N4-1),ABS('Phasing'!N5-1),ABS('Phasing'!N6-1),ABS('Phasing'!N7-1),ABS('Phasing'!N8-1),ABS('Phasing'!N9-1),ABS('Phasing'!N10-1),ABS('Phasing'!N11-1),ABS('Phasing'!N12-1),ABS('Phasing'!N13-1),ABS('Phasing'!N14-1))</x:f>
        <x:v>2.220446049250313e-16</x:v>
      </x:c>
      <x:c r="E5" s="126" t="n">
        <x:f>0.000001</x:f>
        <x:v>0.000001</x:v>
      </x:c>
      <x:c r="F5" s="90" t="str">
        <x:f>IF(D5&lt;=E5,"OK","FAIL")</x:f>
        <x:v>OK</x:v>
      </x:c>
      <x:c r="G5" s="90" t="str">
        <x:v>Phasing!N4:N14</x:v>
      </x:c>
    </x:row>
    <x:row r="6">
      <x:c r="A6" s="90" t="str">
        <x:v>Monthly gross spend ties to selected annual budget</x:v>
      </x:c>
      <x:c r="B6" s="126" t="n">
        <x:f>'Monthly Plan'!N24</x:f>
        <x:v>1271200</x:v>
      </x:c>
      <x:c r="C6" s="126" t="n">
        <x:f>CHOOSE('Assumptions'!B4,'Assumptions'!B28,'Assumptions'!C28,'Assumptions'!D28)+'Assumptions'!B7</x:f>
        <x:v>1271200</x:v>
      </x:c>
      <x:c r="D6" s="126" t="n">
        <x:f>B6-C6</x:f>
        <x:v>0</x:v>
      </x:c>
      <x:c r="E6" s="126" t="n">
        <x:f>1</x:f>
        <x:v>1</x:v>
      </x:c>
      <x:c r="F6" s="90" t="str">
        <x:f>IF(ABS(D6)&lt;=E6,"OK","FAIL")</x:f>
        <x:v>OK</x:v>
      </x:c>
      <x:c r="G6" s="90" t="str">
        <x:v>Monthly Plan!N24</x:v>
      </x:c>
    </x:row>
    <x:row r="7">
      <x:c r="A7" s="90" t="str">
        <x:v>Monthly evidence revenue ties to selected annual assumption</x:v>
      </x:c>
      <x:c r="B7" s="126" t="n">
        <x:f>'Monthly Plan'!N6</x:f>
        <x:v>50000</x:v>
      </x:c>
      <x:c r="C7" s="126" t="n">
        <x:f>CHOOSE('Assumptions'!B4,'Assumptions'!B29,'Assumptions'!C29,'Assumptions'!D29)</x:f>
        <x:v>50000</x:v>
      </x:c>
      <x:c r="D7" s="126" t="n">
        <x:f>B7-C7</x:f>
        <x:v>0</x:v>
      </x:c>
      <x:c r="E7" s="126" t="n">
        <x:f>1</x:f>
        <x:v>1</x:v>
      </x:c>
      <x:c r="F7" s="90" t="str">
        <x:f>IF(ABS(D7)&lt;=E7,"OK","FAIL")</x:f>
        <x:v>OK</x:v>
      </x:c>
      <x:c r="G7" s="90" t="str">
        <x:v>Monthly Plan!N6</x:v>
      </x:c>
    </x:row>
    <x:row r="8">
      <x:c r="A8" s="90" t="str">
        <x:v>Cash roll-forward arithmetic</x:v>
      </x:c>
      <x:c r="B8" s="126" t="n">
        <x:f>'Monthly Plan'!M26</x:f>
        <x:v>-1221200</x:v>
      </x:c>
      <x:c r="C8" s="126" t="n">
        <x:f>'Assumptions'!B6+SUM('Monthly Plan'!B25:M25)</x:f>
        <x:v>-1221200</x:v>
      </x:c>
      <x:c r="D8" s="126" t="n">
        <x:f>B8-C8</x:f>
        <x:v>0</x:v>
      </x:c>
      <x:c r="E8" s="126" t="n">
        <x:f>1</x:f>
        <x:v>1</x:v>
      </x:c>
      <x:c r="F8" s="90" t="str">
        <x:f>IF(ABS(D8)&lt;=E8,"OK","FAIL")</x:f>
        <x:v>OK</x:v>
      </x:c>
      <x:c r="G8" s="90" t="str">
        <x:v>Monthly Plan!B5:M26</x:v>
      </x:c>
    </x:row>
    <x:row r="9">
      <x:c r="A9" s="90" t="str">
        <x:v>Opening cash verified</x:v>
      </x:c>
      <x:c r="B9" s="126" t="n">
        <x:f>IF('Assumptions'!B9="YES",1,0)</x:f>
        <x:v>0</x:v>
      </x:c>
      <x:c r="C9" s="126" t="n">
        <x:f>1</x:f>
        <x:v>1</x:v>
      </x:c>
      <x:c r="D9" s="126" t="n">
        <x:f>B9-C9</x:f>
        <x:v>-1</x:v>
      </x:c>
      <x:c r="E9" s="126" t="n">
        <x:f>0</x:f>
        <x:v>0</x:v>
      </x:c>
      <x:c r="F9" s="90" t="str">
        <x:f>IF(B9=C9,"OK","INPUT REQUIRED")</x:f>
        <x:v>INPUT REQUIRED</x:v>
      </x:c>
      <x:c r="G9" s="90" t="str">
        <x:v>Assumptions!B6/B9</x:v>
      </x:c>
    </x:row>
    <x:row r="10">
      <x:c r="A10" s="90" t="str">
        <x:v>Liabilities verified</x:v>
      </x:c>
      <x:c r="B10" s="126" t="n">
        <x:f>IF('Assumptions'!B10="YES",1,0)</x:f>
        <x:v>0</x:v>
      </x:c>
      <x:c r="C10" s="126" t="n">
        <x:f>1</x:f>
        <x:v>1</x:v>
      </x:c>
      <x:c r="D10" s="126" t="n">
        <x:f>B10-C10</x:f>
        <x:v>-1</x:v>
      </x:c>
      <x:c r="E10" s="126" t="n">
        <x:f>0</x:f>
        <x:v>0</x:v>
      </x:c>
      <x:c r="F10" s="90" t="str">
        <x:f>IF(B10=C10,"OK","INPUT REQUIRED")</x:f>
        <x:v>INPUT REQUIRED</x:v>
      </x:c>
      <x:c r="G10" s="90" t="str">
        <x:v>Assumptions!B7/B10</x:v>
      </x:c>
    </x:row>
    <x:row r="11">
      <x:c r="A11" s="90" t="str">
        <x:v>Founder capacity verified</x:v>
      </x:c>
      <x:c r="B11" s="126" t="n">
        <x:f>IF('Assumptions'!B11="YES",1,0)</x:f>
        <x:v>0</x:v>
      </x:c>
      <x:c r="C11" s="126" t="n">
        <x:f>1</x:f>
        <x:v>1</x:v>
      </x:c>
      <x:c r="D11" s="126" t="n">
        <x:f>B11-C11</x:f>
        <x:v>-1</x:v>
      </x:c>
      <x:c r="E11" s="126" t="n">
        <x:f>0</x:f>
        <x:v>0</x:v>
      </x:c>
      <x:c r="F11" s="90" t="str">
        <x:f>IF(B11=C11,"OK","INPUT REQUIRED")</x:f>
        <x:v>INPUT REQUIRED</x:v>
      </x:c>
      <x:c r="G11" s="90" t="str">
        <x:v>Assumptions!B8/B11</x:v>
      </x:c>
    </x:row>
    <x:row r="12">
      <x:c r="A12" s="90"/>
      <x:c r="B12" s="90"/>
      <x:c r="C12" s="90"/>
      <x:c r="D12" s="90"/>
      <x:c r="E12" s="90"/>
      <x:c r="F12" s="90"/>
      <x:c r="G12" s="90"/>
    </x:row>
    <x:row r="13">
      <x:c r="A13" s="90" t="str">
        <x:v>Structural checks failed</x:v>
      </x:c>
      <x:c r="B13" s="90" t="n">
        <x:f>COUNTIF(F4:F8,"FAIL")</x:f>
        <x:v>0</x:v>
      </x:c>
      <x:c r="C13" s="90"/>
      <x:c r="D13" s="90"/>
      <x:c r="E13" s="90"/>
      <x:c r="F13" s="90"/>
      <x:c r="G13" s="90"/>
    </x:row>
    <x:row r="14">
      <x:c r="A14" s="90" t="str">
        <x:v>Required inputs missing</x:v>
      </x:c>
      <x:c r="B14" s="90" t="n">
        <x:f>COUNTIF(F9:F11,"INPUT REQUIRED")</x:f>
        <x:v>3</x:v>
      </x:c>
      <x:c r="C14" s="90"/>
      <x:c r="D14" s="90"/>
      <x:c r="E14" s="90"/>
      <x:c r="F14" s="90"/>
      <x:c r="G14" s="90"/>
    </x:row>
    <x:row r="15">
      <x:c r="A15" s="127" t="str">
        <x:v>MODEL STATUS</x:v>
      </x:c>
      <x:c r="B15" s="128" t="str">
        <x:f>IF(B13&gt;0,"FAIL",IF(B14&gt;0,"PROVISIONAL — VERIFY INPUTS","PASS"))</x:f>
        <x:v>PROVISIONAL — VERIFY INPUTS</x:v>
      </x:c>
      <x:c r="C15" s="128"/>
      <x:c r="D15" s="128"/>
      <x:c r="E15" s="128"/>
      <x:c r="F15" s="128"/>
      <x:c r="G15" s="129"/>
    </x:row>
    <x:row r="16" ht="42" customHeight="1">
      <x:c r="A16" s="90" t="str">
        <x:v>Interpretation</x:v>
      </x:c>
      <x:c r="B16" s="105" t="str">
        <x:v>PASS means formulas and required founder inputs are current; PROVISIONAL means structural checks pass but finance inputs are unverified.</x:v>
      </x:c>
      <x:c r="C16" s="90"/>
      <x:c r="D16" s="90"/>
      <x:c r="E16" s="90"/>
      <x:c r="F16" s="90"/>
      <x:c r="G16" s="90"/>
    </x:row>
  </x:sheetData>
  <x:mergeCells>
    <x:mergeCell ref="A1:G1"/>
    <x:mergeCell ref="B15:G15"/>
    <x:mergeCell ref="B16:G16"/>
  </x:mergeCells>
  <x:conditionalFormatting sqref="F4:F11">
    <x:cfRule type="containsText" dxfId="2" priority="1" operator="containsText" text="FAIL"/>
    <x:cfRule type="containsText" dxfId="3" priority="2" operator="containsText" text="OK"/>
    <x:cfRule type="containsText" dxfId="4" priority="3" operator="containsText" text="INPUT REQUIR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  <x:col min="7" max="7" width="22" hidden="0" customWidth="1"/>
    <x:col min="8" max="8" width="22" hidden="0" customWidth="1"/>
    <x:col min="9" max="9" width="44" hidden="0" customWidth="1"/>
  </x:cols>
  <x:sheetData>
    <x:row r="1" ht="30" customHeight="1">
      <x:c r="A1" s="88" t="str">
        <x:v>Sources and Audit Trail</x:v>
      </x:c>
      <x:c r="B1" s="88" t="str">
        <x:v>Sources and Audit Trail</x:v>
      </x:c>
      <x:c r="C1" s="88" t="str">
        <x:v>Sources and Audit Trail</x:v>
      </x:c>
      <x:c r="D1" s="88" t="str">
        <x:v>Sources and Audit Trail</x:v>
      </x:c>
      <x:c r="E1" s="88" t="str">
        <x:v>Sources and Audit Trail</x:v>
      </x:c>
      <x:c r="F1" s="88" t="str">
        <x:v>Sources and Audit Trail</x:v>
      </x:c>
      <x:c r="G1" s="88" t="str">
        <x:v>Sources and Audit Trail</x:v>
      </x:c>
      <x:c r="H1" s="88" t="str">
        <x:v>Sources and Audit Trail</x:v>
      </x:c>
      <x:c r="I1" s="88" t="str">
        <x:v>Sources and Audit Trail</x:v>
      </x:c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</x:row>
    <x:row r="3">
      <x:c r="A3" s="103" t="str">
        <x:v>Item</x:v>
      </x:c>
      <x:c r="B3" s="103" t="str">
        <x:v>Value / use</x:v>
      </x:c>
      <x:c r="C3" s="103" t="str">
        <x:v>Units</x:v>
      </x:c>
      <x:c r="D3" s="103" t="str">
        <x:v>As-of</x:v>
      </x:c>
      <x:c r="E3" s="103" t="str">
        <x:v>Source type</x:v>
      </x:c>
      <x:c r="F3" s="103" t="str">
        <x:v>Source / location</x:v>
      </x:c>
      <x:c r="G3" s="103" t="str">
        <x:v>Owner</x:v>
      </x:c>
      <x:c r="H3" s="103" t="str">
        <x:v>Confidence</x:v>
      </x:c>
      <x:c r="I3" s="103" t="str">
        <x:v>Notes</x:v>
      </x:c>
    </x:row>
    <x:row r="4">
      <x:c r="A4" s="105" t="str">
        <x:v>Finance truth</x:v>
      </x:c>
      <x:c r="B4" s="105" t="str">
        <x:v>Cash, liabilities, burn and capacity</x:v>
      </x:c>
      <x:c r="C4" s="105" t="str">
        <x:v>AUD / hours</x:v>
      </x:c>
      <x:c r="D4" s="105" t="str">
        <x:v>2026-07-21</x:v>
      </x:c>
      <x:c r="E4" s="105" t="str">
        <x:v>Required founder input</x:v>
      </x:c>
      <x:c r="F4" s="105" t="str">
        <x:v>03_ARTEFACTS/P1.7_FOUNDER_FINANCE_INPUT_SHEET.md</x:v>
      </x:c>
      <x:c r="G4" s="105" t="str">
        <x:v>Founder</x:v>
      </x:c>
      <x:c r="H4" s="105" t="str">
        <x:v>Missing</x:v>
      </x:c>
      <x:c r="I4" s="105" t="str">
        <x:v>Zero placeholders in Assumptions are not actuals</x:v>
      </x:c>
    </x:row>
    <x:row r="5">
      <x:c r="A5" s="105" t="str">
        <x:v>Regulatory posture</x:v>
      </x:c>
      <x:c r="B5" s="105" t="str">
        <x:v>Regulated SaMD base case; Class III-capable shared controls</x:v>
      </x:c>
      <x:c r="C5" s="105" t="str">
        <x:v>Decision</x:v>
      </x:c>
      <x:c r="D5" s="105" t="str">
        <x:v>2026-07-20</x:v>
      </x:c>
      <x:c r="E5" s="105" t="str">
        <x:v>Controlled record</x:v>
      </x:c>
      <x:c r="F5" s="105" t="str">
        <x:v>02_PHASES/P1/P1.6_REGULATORY_PATH_DECISION.md</x:v>
      </x:c>
      <x:c r="G5" s="105" t="str">
        <x:v>Founder / Regulatory</x:v>
      </x:c>
      <x:c r="H5" s="105" t="str">
        <x:v>Provisional legal class</x:v>
      </x:c>
      <x:c r="I5" s="105" t="str">
        <x:v>Counsel attestation open</x:v>
      </x:c>
    </x:row>
    <x:row r="6">
      <x:c r="A6" s="105" t="str">
        <x:v>Business model</x:v>
      </x:c>
      <x:c r="B6" s="105" t="str">
        <x:v>Mixed enterprise, site/user, patient and service-agreement model</x:v>
      </x:c>
      <x:c r="C6" s="105" t="str">
        <x:v>Decision</x:v>
      </x:c>
      <x:c r="D6" s="105" t="str">
        <x:v>2026-07-21</x:v>
      </x:c>
      <x:c r="E6" s="105" t="str">
        <x:v>Controlled record</x:v>
      </x:c>
      <x:c r="F6" s="105" t="str">
        <x:v>02_PHASES/P1/P1.3_BUSINESS_MODEL_AND_MOAT_THESIS.md</x:v>
      </x:c>
      <x:c r="G6" s="105" t="str">
        <x:v>Founder / Finance</x:v>
      </x:c>
      <x:c r="H6" s="105" t="str">
        <x:v>Unvalidated</x:v>
      </x:c>
      <x:c r="I6" s="105" t="str">
        <x:v>No production revenue included in this workbook</x:v>
      </x:c>
    </x:row>
    <x:row r="7">
      <x:c r="A7" s="105" t="str">
        <x:v>Design partner</x:v>
      </x:c>
      <x:c r="B7" s="105" t="str">
        <x:v>Six-week zero-fee synthetic-only Pharmacy 777 discovery</x:v>
      </x:c>
      <x:c r="C7" s="105" t="str">
        <x:v>Offer</x:v>
      </x:c>
      <x:c r="D7" s="105" t="str">
        <x:v>2026-07-21</x:v>
      </x:c>
      <x:c r="E7" s="105" t="str">
        <x:v>Controlled record</x:v>
      </x:c>
      <x:c r="F7" s="105" t="str">
        <x:v>02_PHASES/P1/P1.5_DESIGN_PARTNER_OFFER.md</x:v>
      </x:c>
      <x:c r="G7" s="105" t="str">
        <x:v>Founder / Growth</x:v>
      </x:c>
      <x:c r="H7" s="105" t="str">
        <x:v>Issue authorised</x:v>
      </x:c>
      <x:c r="I7" s="105" t="str">
        <x:v>Sender/counterparty gates remain</x:v>
      </x:c>
    </x:row>
    <x:row r="8">
      <x:c r="A8" s="105" t="str">
        <x:v>Authority model</x:v>
      </x:c>
      <x:c r="B8" s="105" t="str">
        <x:v>Founder-led, independently governed authority stack</x:v>
      </x:c>
      <x:c r="C8" s="105" t="str">
        <x:v>Decision</x:v>
      </x:c>
      <x:c r="D8" s="105" t="str">
        <x:v>2026-07-21</x:v>
      </x:c>
      <x:c r="E8" s="105" t="str">
        <x:v>Controlled record</x:v>
      </x:c>
      <x:c r="F8" s="105" t="str">
        <x:v>03_ARTEFACTS/P1.4_CLINICAL_AUTHORITY_BLUEPRINT.md</x:v>
      </x:c>
      <x:c r="G8" s="105" t="str">
        <x:v>Founder / Board</x:v>
      </x:c>
      <x:c r="H8" s="105" t="str">
        <x:v>Appointments missing</x:v>
      </x:c>
      <x:c r="I8" s="105" t="str">
        <x:v>R-M019 open</x:v>
      </x:c>
    </x:row>
    <x:row r="9">
      <x:c r="A9" s="105" t="str">
        <x:v>Scenario costs</x:v>
      </x:c>
      <x:c r="B9" s="105" t="str">
        <x:v>All annual cost values</x:v>
      </x:c>
      <x:c r="C9" s="105" t="str">
        <x:v>AUD</x:v>
      </x:c>
      <x:c r="D9" s="105" t="str">
        <x:v>2026-07-21</x:v>
      </x:c>
      <x:c r="E9" s="105" t="str">
        <x:v>Internal planning assumption</x:v>
      </x:c>
      <x:c r="F9" s="105" t="str">
        <x:v>This workbook: Assumptions!B15:D32</x:v>
      </x:c>
      <x:c r="G9" s="105" t="str">
        <x:v>Founder / Finance</x:v>
      </x:c>
      <x:c r="H9" s="105" t="str">
        <x:v>Low</x:v>
      </x:c>
      <x:c r="I9" s="105" t="str">
        <x:v>Not supplier quotes, payroll evidence or funding commitments</x:v>
      </x:c>
    </x:row>
    <x:row r="10">
      <x:c r="A10" s="105" t="str">
        <x:v>Evidence revenue</x:v>
      </x:c>
      <x:c r="B10" s="105" t="str">
        <x:v>$30k / $50k / $150k by scenario</x:v>
      </x:c>
      <x:c r="C10" s="105" t="str">
        <x:v>AUD</x:v>
      </x:c>
      <x:c r="D10" s="105" t="str">
        <x:v>2026-07-21</x:v>
      </x:c>
      <x:c r="E10" s="105" t="str">
        <x:v>Internal planning assumption</x:v>
      </x:c>
      <x:c r="F10" s="105" t="str">
        <x:v>This workbook: Assumptions!B29:D29</x:v>
      </x:c>
      <x:c r="G10" s="105" t="str">
        <x:v>Founder / Growth</x:v>
      </x:c>
      <x:c r="H10" s="105" t="str">
        <x:v>Low</x:v>
      </x:c>
      <x:c r="I10" s="105" t="str">
        <x:v>Governed evidence projects only; no production/patient revenue</x:v>
      </x:c>
    </x:row>
  </x:sheetData>
  <x:mergeCells>
    <x:mergeCell ref="A1:I1"/>
  </x:mergeCells>
  <x:conditionalFormatting sqref="H4:H10">
    <x:cfRule type="containsText" dxfId="5" priority="1" operator="containsText" text="Missing"/>
    <x:cfRule type="containsText" dxfId="6" priority="2" operator="containsText" text="Low"/>
  </x:conditionalFormatting>
  <x:pageMargins left="0.7" right="0.7" top="0.75" bottom="0.75" header="0.3" footer="0.3"/>
</x:worksheet>
</file>